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yau" sheetId="1" r:id="rId4"/>
    <sheet state="visible" name="Self" sheetId="2" r:id="rId5"/>
  </sheets>
  <externalReferences>
    <externalReference r:id="rId6"/>
    <externalReference r:id="rId7"/>
    <externalReference r:id="rId8"/>
    <externalReference r:id="rId9"/>
  </externalReferences>
  <definedNames>
    <definedName name="noyaux">[2]Données!$A$3:$T$26</definedName>
    <definedName name="Table1">'[3]1MOS'!$L$2:$R$50</definedName>
    <definedName name="table3">'[4]1MOS'!$L$2:$R$59</definedName>
    <definedName name="TableD1">[3]Diode!$L$1:$R$30</definedName>
    <definedName name="ListeNoyau">Noyau!$A$2:$A$42</definedName>
    <definedName name="ListeMOS">#REF!</definedName>
    <definedName name="ListeNoyauC">Noyau!$A$1:$R$42</definedName>
    <definedName name="Cuivre">Noyau!$A$91:$L$94</definedName>
    <definedName name="ListDiode">#REF!</definedName>
    <definedName name="TableMOSFET">#REF!</definedName>
    <definedName name="Bmax">#REF!</definedName>
    <definedName name="TableD">#REF!</definedName>
    <definedName name="ListeStructure">#REF!</definedName>
    <definedName name="Icret">#REF!</definedName>
    <definedName name="NbCM">#REF!</definedName>
    <definedName name="ListeDiode">#REF!</definedName>
    <definedName name="Dil">#REF!</definedName>
    <definedName name="Table">#REF!</definedName>
    <definedName name="TableDiode">#REF!</definedName>
    <definedName name="Cuivre1">Noyau!$A$91:$L$94</definedName>
    <definedName name="Self">#REF!</definedName>
  </definedNames>
  <calcPr/>
  <extLst>
    <ext uri="GoogleSheetsCustomDataVersion2">
      <go:sheetsCustomData xmlns:go="http://customooxmlschemas.google.com/" r:id="rId10" roundtripDataChecksum="DJw4Y/CRHSZScF0SXH7YLRVWIDEyiczBPoqnN0dvVFE="/>
    </ext>
  </extLst>
</workbook>
</file>

<file path=xl/sharedStrings.xml><?xml version="1.0" encoding="utf-8"?>
<sst xmlns="http://schemas.openxmlformats.org/spreadsheetml/2006/main" count="243" uniqueCount="186">
  <si>
    <t>Ae min (mm²)</t>
  </si>
  <si>
    <t>Ae</t>
  </si>
  <si>
    <t>Aw</t>
  </si>
  <si>
    <t>Ae*Aw</t>
  </si>
  <si>
    <t>le</t>
  </si>
  <si>
    <t>Ve</t>
  </si>
  <si>
    <t>µe</t>
  </si>
  <si>
    <t>Al calculé</t>
  </si>
  <si>
    <t>øint</t>
  </si>
  <si>
    <t>Al</t>
  </si>
  <si>
    <t>K1</t>
  </si>
  <si>
    <t>K2</t>
  </si>
  <si>
    <t>K3 (100°C)</t>
  </si>
  <si>
    <t>K4 (100°C)</t>
  </si>
  <si>
    <t>Largeur Fen</t>
  </si>
  <si>
    <t>Larg Moy Fen</t>
  </si>
  <si>
    <t>Long Moy Fen</t>
  </si>
  <si>
    <t>ETD29/16/10</t>
  </si>
  <si>
    <t>ETD34/17/11</t>
  </si>
  <si>
    <t>ETD39/20/13</t>
  </si>
  <si>
    <t>ETD44/22/15</t>
  </si>
  <si>
    <t>ETD49/28/16</t>
  </si>
  <si>
    <t>ETD54/28/19</t>
  </si>
  <si>
    <t>ETD59/31/22</t>
  </si>
  <si>
    <t>EFD10/5/3</t>
  </si>
  <si>
    <t>EFD15/8/5</t>
  </si>
  <si>
    <t>EFD20/10/7</t>
  </si>
  <si>
    <t>EFD25/13/9</t>
  </si>
  <si>
    <t>EFD30/15/9</t>
  </si>
  <si>
    <t>EPC30-Z</t>
  </si>
  <si>
    <t>RM10</t>
  </si>
  <si>
    <t>RM12</t>
  </si>
  <si>
    <t>PM50/39</t>
  </si>
  <si>
    <t>PQ26/25</t>
  </si>
  <si>
    <t>PQ32/30</t>
  </si>
  <si>
    <t>PQ 35/35</t>
  </si>
  <si>
    <t>PQ40/40</t>
  </si>
  <si>
    <t>PQ50/50</t>
  </si>
  <si>
    <t>PQ65/54</t>
  </si>
  <si>
    <t>EP20</t>
  </si>
  <si>
    <t>Test</t>
  </si>
  <si>
    <t>ER32/5/21</t>
  </si>
  <si>
    <t>E43/10/28</t>
  </si>
  <si>
    <t>E5,3/2,7/2</t>
  </si>
  <si>
    <t>E13/7/4</t>
  </si>
  <si>
    <t>E16/8/5</t>
  </si>
  <si>
    <t>E20/10/6</t>
  </si>
  <si>
    <t>E25/13/7</t>
  </si>
  <si>
    <t>E30/15/7</t>
  </si>
  <si>
    <t>E32/16/9</t>
  </si>
  <si>
    <t>E32/16/11</t>
  </si>
  <si>
    <t>E36/18/11</t>
  </si>
  <si>
    <t>E42/21/15</t>
  </si>
  <si>
    <t>E42/21/20</t>
  </si>
  <si>
    <t>E55/28/21</t>
  </si>
  <si>
    <t>E55/28/25</t>
  </si>
  <si>
    <t>E65/32/27</t>
  </si>
  <si>
    <t>E70/33/32</t>
  </si>
  <si>
    <t>ep carcasse</t>
  </si>
  <si>
    <t>S bobinage</t>
  </si>
  <si>
    <t>Lspprim</t>
  </si>
  <si>
    <t>Lspsec</t>
  </si>
  <si>
    <t>Lspnoysup</t>
  </si>
  <si>
    <r>
      <rPr>
        <rFont val="Calibri"/>
        <color theme="1"/>
      </rPr>
      <t>AP (cm</t>
    </r>
    <r>
      <rPr>
        <rFont val="Arial"/>
        <color theme="1"/>
        <sz val="6.0"/>
      </rPr>
      <t>4</t>
    </r>
    <r>
      <rPr>
        <rFont val="Arial"/>
        <color theme="1"/>
        <sz val="10.0"/>
      </rPr>
      <t>)</t>
    </r>
  </si>
  <si>
    <t>Rth (°C/W)</t>
  </si>
  <si>
    <t>Sech (mm²)</t>
  </si>
  <si>
    <t>Htot (mm)</t>
  </si>
  <si>
    <t>L carcasse</t>
  </si>
  <si>
    <t>Noyau</t>
  </si>
  <si>
    <t>Seff (mm²)</t>
  </si>
  <si>
    <t>Awin (mm²)</t>
  </si>
  <si>
    <t>Leff (mm)</t>
  </si>
  <si>
    <t>Vmag (cm³)</t>
  </si>
  <si>
    <t>Al (nH/sp²)</t>
  </si>
  <si>
    <t>E20/10/5</t>
  </si>
  <si>
    <t>Non</t>
  </si>
  <si>
    <t>EFD15</t>
  </si>
  <si>
    <t>EFD20</t>
  </si>
  <si>
    <t>EFD25</t>
  </si>
  <si>
    <t>EFD30</t>
  </si>
  <si>
    <t>ETD29</t>
  </si>
  <si>
    <t>ETD34</t>
  </si>
  <si>
    <t>ETD39</t>
  </si>
  <si>
    <t>ETD44</t>
  </si>
  <si>
    <t>ETD49</t>
  </si>
  <si>
    <t>ETD54</t>
  </si>
  <si>
    <t>ETD59</t>
  </si>
  <si>
    <t>Fil émaillé</t>
  </si>
  <si>
    <t>Diamètre Fil</t>
  </si>
  <si>
    <t>Nbre Fil //</t>
  </si>
  <si>
    <t>Meplat</t>
  </si>
  <si>
    <t>Largeur</t>
  </si>
  <si>
    <t>Epaisseur</t>
  </si>
  <si>
    <t>Nbe Meplat //</t>
  </si>
  <si>
    <t>Fil Litz Rond</t>
  </si>
  <si>
    <t>Fil Litz C</t>
  </si>
  <si>
    <t xml:space="preserve">Circuit mag. : </t>
  </si>
  <si>
    <t>Calcul de Self</t>
  </si>
  <si>
    <t>Caractéristique du cuivre</t>
  </si>
  <si>
    <t xml:space="preserve">Nb noyau E : </t>
  </si>
  <si>
    <r>
      <rPr>
        <rFont val="Symbol"/>
        <color theme="1"/>
        <sz val="11.0"/>
      </rPr>
      <t>r</t>
    </r>
    <r>
      <rPr>
        <rFont val="Calibri"/>
        <color theme="1"/>
        <sz val="11.0"/>
      </rPr>
      <t xml:space="preserve"> cuivre à 0°C</t>
    </r>
  </si>
  <si>
    <r>
      <rPr>
        <rFont val="Noto Sans Symbols"/>
        <color theme="1"/>
        <sz val="11.0"/>
      </rPr>
      <t>W.</t>
    </r>
    <r>
      <rPr>
        <rFont val="Arial"/>
        <color theme="1"/>
        <sz val="11.0"/>
      </rPr>
      <t>m</t>
    </r>
  </si>
  <si>
    <t xml:space="preserve">Bsat : </t>
  </si>
  <si>
    <t>@ 100°C</t>
  </si>
  <si>
    <r>
      <rPr>
        <rFont val="Symbol"/>
        <color theme="1"/>
        <sz val="11.0"/>
      </rPr>
      <t>a</t>
    </r>
    <r>
      <rPr>
        <rFont val="Calibri"/>
        <color theme="1"/>
        <sz val="11.0"/>
      </rPr>
      <t xml:space="preserve"> cuivre</t>
    </r>
  </si>
  <si>
    <t>°C^-1</t>
  </si>
  <si>
    <t>F :</t>
  </si>
  <si>
    <t>Hz</t>
  </si>
  <si>
    <r>
      <rPr>
        <rFont val="Symbol"/>
        <color theme="1"/>
        <sz val="11.0"/>
      </rPr>
      <t>q</t>
    </r>
    <r>
      <rPr>
        <rFont val="Calibri"/>
        <color theme="1"/>
        <sz val="11.0"/>
      </rPr>
      <t xml:space="preserve"> cuivre</t>
    </r>
  </si>
  <si>
    <t>°C</t>
  </si>
  <si>
    <r>
      <rPr>
        <rFont val="Calibri"/>
        <color theme="1"/>
        <sz val="11.0"/>
      </rPr>
      <t>μ</t>
    </r>
    <r>
      <rPr>
        <rFont val="Calibri"/>
        <color theme="1"/>
        <sz val="11.0"/>
      </rPr>
      <t>o</t>
    </r>
  </si>
  <si>
    <r>
      <rPr>
        <rFont val="Symbol"/>
        <color theme="1"/>
        <sz val="11.0"/>
      </rPr>
      <t>r</t>
    </r>
    <r>
      <rPr>
        <rFont val="Calibri"/>
        <color theme="1"/>
        <sz val="11.0"/>
      </rPr>
      <t xml:space="preserve"> cuivre à</t>
    </r>
    <r>
      <rPr>
        <rFont val="Symbol"/>
        <color theme="1"/>
        <sz val="11.0"/>
      </rPr>
      <t xml:space="preserve"> q</t>
    </r>
    <r>
      <rPr>
        <rFont val="Calibri"/>
        <color theme="1"/>
        <sz val="11.0"/>
      </rPr>
      <t>°C</t>
    </r>
  </si>
  <si>
    <r>
      <rPr>
        <rFont val="Noto Sans Symbols"/>
        <color theme="1"/>
        <sz val="11.0"/>
      </rPr>
      <t>W.</t>
    </r>
    <r>
      <rPr>
        <rFont val="Arial"/>
        <color theme="1"/>
        <sz val="11.0"/>
      </rPr>
      <t>m</t>
    </r>
  </si>
  <si>
    <r>
      <rPr>
        <rFont val="Calibri"/>
        <color theme="1"/>
        <sz val="11.0"/>
      </rPr>
      <t>μ</t>
    </r>
    <r>
      <rPr>
        <rFont val="Calibri"/>
        <color theme="1"/>
        <sz val="11.0"/>
      </rPr>
      <t>e</t>
    </r>
  </si>
  <si>
    <t xml:space="preserve">AeAw noyau : </t>
  </si>
  <si>
    <t>cm4</t>
  </si>
  <si>
    <t xml:space="preserve">Bobinage </t>
  </si>
  <si>
    <t>Pertes dans le Noyau</t>
  </si>
  <si>
    <t xml:space="preserve">AeAw réel : </t>
  </si>
  <si>
    <t>mm</t>
  </si>
  <si>
    <t xml:space="preserve">le : </t>
  </si>
  <si>
    <t xml:space="preserve">Ae min : </t>
  </si>
  <si>
    <t>mm²</t>
  </si>
  <si>
    <t>Type</t>
  </si>
  <si>
    <t>Ae :</t>
  </si>
  <si>
    <t>Nbre couche P</t>
  </si>
  <si>
    <t>Pc:Perte core relative en kW/m3</t>
  </si>
  <si>
    <t xml:space="preserve">Ve : </t>
  </si>
  <si>
    <r>
      <rPr>
        <rFont val="Calibri"/>
        <color theme="1"/>
        <sz val="11.0"/>
      </rPr>
      <t>cm</t>
    </r>
    <r>
      <rPr>
        <rFont val="Arial"/>
        <color theme="1"/>
        <sz val="10.0"/>
      </rPr>
      <t>³</t>
    </r>
  </si>
  <si>
    <t>Larg. Fenêtre Wfe</t>
  </si>
  <si>
    <t>F: Fréquence de découpage en kHz</t>
  </si>
  <si>
    <t xml:space="preserve">Al : </t>
  </si>
  <si>
    <t>nH/sp²</t>
  </si>
  <si>
    <t>Sp</t>
  </si>
  <si>
    <t>B: Induction max en Tesla</t>
  </si>
  <si>
    <t xml:space="preserve">K1 : </t>
  </si>
  <si>
    <t>Equ Carré</t>
  </si>
  <si>
    <t xml:space="preserve">K2 : </t>
  </si>
  <si>
    <t xml:space="preserve">Longueur </t>
  </si>
  <si>
    <t>m</t>
  </si>
  <si>
    <t xml:space="preserve">K3 : </t>
  </si>
  <si>
    <t xml:space="preserve">K4 : </t>
  </si>
  <si>
    <t>Caractéristique Thermique</t>
  </si>
  <si>
    <r>
      <rPr>
        <rFont val="Calibri"/>
        <color theme="1"/>
        <sz val="11.0"/>
      </rPr>
      <t>ø</t>
    </r>
    <r>
      <rPr>
        <rFont val="Calibri"/>
        <color theme="1"/>
        <sz val="11.0"/>
      </rPr>
      <t>int</t>
    </r>
  </si>
  <si>
    <t>Rth ferrite</t>
  </si>
  <si>
    <t>°C/W</t>
  </si>
  <si>
    <t>Reluct. Ferrite</t>
  </si>
  <si>
    <r>
      <rPr>
        <rFont val="Calibri"/>
        <color theme="1"/>
        <sz val="11.0"/>
      </rPr>
      <t>H</t>
    </r>
    <r>
      <rPr>
        <rFont val="Calibri"/>
        <color theme="1"/>
        <sz val="11.0"/>
        <vertAlign val="superscript"/>
      </rPr>
      <t>-1</t>
    </r>
  </si>
  <si>
    <t>Hauteur Fenetre</t>
  </si>
  <si>
    <t>Resistance AC et DC</t>
  </si>
  <si>
    <t>Pertes Fer</t>
  </si>
  <si>
    <t>FF</t>
  </si>
  <si>
    <r>
      <rPr>
        <rFont val="Noto Sans Symbols"/>
        <color theme="1"/>
        <sz val="11.0"/>
      </rPr>
      <t xml:space="preserve">d </t>
    </r>
    <r>
      <rPr>
        <rFont val="Arial"/>
        <color theme="1"/>
        <sz val="11.0"/>
      </rPr>
      <t>(Peau)</t>
    </r>
  </si>
  <si>
    <t>Bm</t>
  </si>
  <si>
    <t>T</t>
  </si>
  <si>
    <t xml:space="preserve">e / jambe : </t>
  </si>
  <si>
    <t>X</t>
  </si>
  <si>
    <t>F</t>
  </si>
  <si>
    <t xml:space="preserve">e total : </t>
  </si>
  <si>
    <t>nw=(Wcu/WFe)</t>
  </si>
  <si>
    <r>
      <rPr>
        <rFont val="Calibri"/>
        <color theme="1"/>
        <sz val="11.0"/>
      </rPr>
      <t xml:space="preserve">Pertes Relatives </t>
    </r>
    <r>
      <rPr>
        <rFont val="Calibri"/>
        <color theme="1"/>
        <sz val="7.0"/>
      </rPr>
      <t>(@25°C)</t>
    </r>
  </si>
  <si>
    <t>kW/m3</t>
  </si>
  <si>
    <t xml:space="preserve">Al eq.: </t>
  </si>
  <si>
    <t>X'</t>
  </si>
  <si>
    <r>
      <rPr>
        <rFont val="Calibri"/>
        <color theme="1"/>
        <sz val="11.0"/>
      </rPr>
      <t xml:space="preserve">Pertes Relatives </t>
    </r>
    <r>
      <rPr>
        <rFont val="Calibri"/>
        <color theme="1"/>
        <sz val="7.0"/>
      </rPr>
      <t>(@100°C)</t>
    </r>
  </si>
  <si>
    <t xml:space="preserve">n : </t>
  </si>
  <si>
    <t>sp</t>
  </si>
  <si>
    <t>Fr=(Rac/Rdc)</t>
  </si>
  <si>
    <t>pertes Core</t>
  </si>
  <si>
    <t>W</t>
  </si>
  <si>
    <t xml:space="preserve">L : </t>
  </si>
  <si>
    <t>µH</t>
  </si>
  <si>
    <t>Rpac</t>
  </si>
  <si>
    <t xml:space="preserve">Isat : </t>
  </si>
  <si>
    <t>A à Bsat</t>
  </si>
  <si>
    <t>Rpdc</t>
  </si>
  <si>
    <t>Self Avec Ae nom</t>
  </si>
  <si>
    <t>Ae eff</t>
  </si>
  <si>
    <t>Rel Air Gap</t>
  </si>
  <si>
    <r>
      <rPr>
        <rFont val="Calibri"/>
        <color theme="1"/>
        <sz val="11.0"/>
      </rPr>
      <t>H</t>
    </r>
    <r>
      <rPr>
        <rFont val="Calibri"/>
        <color theme="1"/>
        <sz val="11.0"/>
        <vertAlign val="superscript"/>
      </rPr>
      <t>-1</t>
    </r>
  </si>
  <si>
    <t>Rel Total</t>
  </si>
  <si>
    <r>
      <rPr>
        <rFont val="Calibri"/>
        <color theme="1"/>
        <sz val="11.0"/>
      </rPr>
      <t>H</t>
    </r>
    <r>
      <rPr>
        <rFont val="Calibri"/>
        <color theme="1"/>
        <sz val="11.0"/>
        <vertAlign val="superscript"/>
      </rPr>
      <t>-1</t>
    </r>
  </si>
  <si>
    <t>L</t>
  </si>
  <si>
    <t>L(Magn+AirG)</t>
  </si>
  <si>
    <t xml:space="preserve"> Fringing factor (FF)</t>
  </si>
  <si>
    <t xml:space="preserve">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</si>
</sst>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Arial"/>
    </font>
    <font>
      <b/>
      <sz val="26.0"/>
      <color theme="1"/>
      <name val="Calibri"/>
    </font>
    <font/>
    <font>
      <sz val="11.0"/>
      <color theme="1"/>
      <name val="Noto Sans Symbols"/>
    </font>
    <font>
      <b/>
      <sz val="10.0"/>
      <color theme="1"/>
      <name val="Arial"/>
    </font>
    <font>
      <b/>
      <sz val="11.0"/>
      <color theme="1"/>
      <name val="Calibri"/>
    </font>
    <font>
      <sz val="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5" xfId="0" applyBorder="1" applyFont="1" applyNumberFormat="1"/>
    <xf borderId="1" fillId="0" fontId="1" numFmtId="2" xfId="0" applyBorder="1" applyFont="1" applyNumberFormat="1"/>
    <xf borderId="1" fillId="0" fontId="1" numFmtId="1" xfId="0" applyBorder="1" applyFont="1" applyNumberFormat="1"/>
    <xf borderId="0" fillId="0" fontId="1" numFmtId="1" xfId="0" applyFont="1" applyNumberFormat="1"/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2" xfId="0" applyFont="1" applyNumberFormat="1"/>
    <xf borderId="0" fillId="0" fontId="3" numFmtId="0" xfId="0" applyFont="1"/>
    <xf borderId="1" fillId="2" fontId="1" numFmtId="0" xfId="0" applyAlignment="1" applyBorder="1" applyFill="1" applyFont="1">
      <alignment horizontal="right"/>
    </xf>
    <xf borderId="1" fillId="0" fontId="1" numFmtId="0" xfId="0" applyAlignment="1" applyBorder="1" applyFont="1">
      <alignment horizontal="right"/>
    </xf>
    <xf borderId="1" fillId="2" fontId="1" numFmtId="0" xfId="0" applyBorder="1" applyFont="1"/>
    <xf borderId="0" fillId="0" fontId="4" numFmtId="0" xfId="0" applyAlignment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2" fontId="1" numFmtId="0" xfId="0" applyBorder="1" applyFont="1"/>
    <xf borderId="6" fillId="3" fontId="1" numFmtId="0" xfId="0" applyAlignment="1" applyBorder="1" applyFill="1" applyFont="1">
      <alignment horizontal="right"/>
    </xf>
    <xf borderId="7" fillId="2" fontId="6" numFmtId="0" xfId="0" applyBorder="1" applyFont="1"/>
    <xf quotePrefix="1" borderId="1" fillId="2" fontId="1" numFmtId="0" xfId="0" applyBorder="1" applyFont="1"/>
    <xf borderId="8" fillId="2" fontId="1" numFmtId="0" xfId="0" applyBorder="1" applyFont="1"/>
    <xf borderId="1" fillId="3" fontId="1" numFmtId="0" xfId="0" applyAlignment="1" applyBorder="1" applyFont="1">
      <alignment horizontal="right"/>
    </xf>
    <xf borderId="9" fillId="2" fontId="1" numFmtId="0" xfId="0" applyBorder="1" applyFont="1"/>
    <xf borderId="1" fillId="4" fontId="1" numFmtId="0" xfId="0" applyBorder="1" applyFill="1" applyFont="1"/>
    <xf borderId="10" fillId="2" fontId="1" numFmtId="0" xfId="0" applyBorder="1" applyFont="1"/>
    <xf borderId="11" fillId="3" fontId="1" numFmtId="0" xfId="0" applyAlignment="1" applyBorder="1" applyFont="1">
      <alignment horizontal="right"/>
    </xf>
    <xf borderId="12" fillId="2" fontId="6" numFmtId="0" xfId="0" applyBorder="1" applyFont="1"/>
    <xf borderId="1" fillId="3" fontId="1" numFmtId="1" xfId="0" applyBorder="1" applyFont="1" applyNumberFormat="1"/>
    <xf borderId="13" fillId="0" fontId="1" numFmtId="0" xfId="0" applyAlignment="1" applyBorder="1" applyFont="1">
      <alignment horizontal="center"/>
    </xf>
    <xf borderId="14" fillId="0" fontId="5" numFmtId="0" xfId="0" applyBorder="1" applyFont="1"/>
    <xf borderId="15" fillId="0" fontId="5" numFmtId="0" xfId="0" applyBorder="1" applyFont="1"/>
    <xf borderId="1" fillId="3" fontId="1" numFmtId="0" xfId="0" applyBorder="1" applyFont="1"/>
    <xf borderId="6" fillId="0" fontId="1" numFmtId="0" xfId="0" applyAlignment="1" applyBorder="1" applyFont="1">
      <alignment horizontal="right"/>
    </xf>
    <xf borderId="7" fillId="2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1" fillId="0" fontId="1" numFmtId="1" xfId="0" applyAlignment="1" applyBorder="1" applyFont="1" applyNumberFormat="1">
      <alignment horizontal="right"/>
    </xf>
    <xf borderId="1" fillId="3" fontId="1" numFmtId="165" xfId="0" applyAlignment="1" applyBorder="1" applyFont="1" applyNumberFormat="1">
      <alignment horizontal="right"/>
    </xf>
    <xf borderId="1" fillId="3" fontId="1" numFmtId="164" xfId="0" applyAlignment="1" applyBorder="1" applyFont="1" applyNumberFormat="1">
      <alignment horizontal="right"/>
    </xf>
    <xf borderId="1" fillId="3" fontId="1" numFmtId="164" xfId="0" applyBorder="1" applyFont="1" applyNumberFormat="1"/>
    <xf borderId="11" fillId="3" fontId="1" numFmtId="164" xfId="0" applyAlignment="1" applyBorder="1" applyFont="1" applyNumberFormat="1">
      <alignment horizontal="right"/>
    </xf>
    <xf borderId="12" fillId="2" fontId="1" numFmtId="0" xfId="0" applyBorder="1" applyFont="1"/>
    <xf borderId="21" fillId="2" fontId="1" numFmtId="0" xfId="0" applyBorder="1" applyFont="1"/>
    <xf borderId="22" fillId="3" fontId="1" numFmtId="2" xfId="0" applyBorder="1" applyFont="1" applyNumberFormat="1"/>
    <xf borderId="23" fillId="2" fontId="1" numFmtId="0" xfId="0" applyBorder="1" applyFont="1"/>
    <xf borderId="1" fillId="3" fontId="1" numFmtId="2" xfId="0" applyBorder="1" applyFont="1" applyNumberFormat="1"/>
    <xf borderId="1" fillId="5" fontId="1" numFmtId="164" xfId="0" applyBorder="1" applyFill="1" applyFont="1" applyNumberFormat="1"/>
    <xf borderId="5" fillId="2" fontId="6" numFmtId="0" xfId="0" applyBorder="1" applyFont="1"/>
    <xf borderId="6" fillId="3" fontId="1" numFmtId="164" xfId="0" applyAlignment="1" applyBorder="1" applyFont="1" applyNumberFormat="1">
      <alignment horizontal="right"/>
    </xf>
    <xf borderId="9" fillId="2" fontId="6" numFmtId="0" xfId="0" applyBorder="1" applyFont="1"/>
    <xf borderId="9" fillId="2" fontId="6" numFmtId="164" xfId="0" applyBorder="1" applyFont="1" applyNumberFormat="1"/>
    <xf borderId="1" fillId="6" fontId="7" numFmtId="164" xfId="0" applyBorder="1" applyFill="1" applyFont="1" applyNumberFormat="1"/>
    <xf borderId="1" fillId="6" fontId="8" numFmtId="2" xfId="0" applyBorder="1" applyFont="1" applyNumberFormat="1"/>
    <xf borderId="1" fillId="3" fontId="1" numFmtId="166" xfId="0" applyAlignment="1" applyBorder="1" applyFont="1" applyNumberFormat="1">
      <alignment horizontal="right"/>
    </xf>
    <xf borderId="5" fillId="2" fontId="1" numFmtId="0" xfId="0" applyAlignment="1" applyBorder="1" applyFont="1">
      <alignment horizontal="right"/>
    </xf>
    <xf borderId="6" fillId="3" fontId="1" numFmtId="2" xfId="0" applyBorder="1" applyFont="1" applyNumberFormat="1"/>
    <xf borderId="8" fillId="2" fontId="1" numFmtId="0" xfId="0" applyAlignment="1" applyBorder="1" applyFont="1">
      <alignment horizontal="right"/>
    </xf>
    <xf borderId="24" fillId="2" fontId="1" numFmtId="0" xfId="0" applyAlignment="1" applyBorder="1" applyFont="1">
      <alignment horizontal="right"/>
    </xf>
    <xf borderId="25" fillId="3" fontId="1" numFmtId="2" xfId="0" applyBorder="1" applyFont="1" applyNumberFormat="1"/>
    <xf borderId="26" fillId="2" fontId="1" numFmtId="0" xfId="0" applyBorder="1" applyFont="1"/>
    <xf borderId="8" fillId="2" fontId="9" numFmtId="0" xfId="0" applyAlignment="1" applyBorder="1" applyFont="1">
      <alignment horizontal="right"/>
    </xf>
    <xf borderId="25" fillId="6" fontId="8" numFmtId="2" xfId="0" applyBorder="1" applyFont="1" applyNumberFormat="1"/>
    <xf borderId="27" fillId="2" fontId="1" numFmtId="0" xfId="0" applyAlignment="1" applyBorder="1" applyFont="1">
      <alignment horizontal="right"/>
    </xf>
    <xf borderId="28" fillId="6" fontId="8" numFmtId="2" xfId="0" applyBorder="1" applyFont="1" applyNumberFormat="1"/>
    <xf borderId="29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4.gif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419100</xdr:colOff>
      <xdr:row>1</xdr:row>
      <xdr:rowOff>104775</xdr:rowOff>
    </xdr:from>
    <xdr:ext cx="6591300" cy="5267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15</xdr:row>
      <xdr:rowOff>161925</xdr:rowOff>
    </xdr:from>
    <xdr:ext cx="1771650" cy="781050"/>
    <xdr:sp>
      <xdr:nvSpPr>
        <xdr:cNvPr id="3" name="Shape 3"/>
        <xdr:cNvSpPr txBox="1"/>
      </xdr:nvSpPr>
      <xdr:spPr>
        <a:xfrm>
          <a:off x="4474463" y="3403763"/>
          <a:ext cx="1743075" cy="752475"/>
        </a:xfrm>
        <a:prstGeom prst="rect">
          <a:avLst/>
        </a:prstGeom>
        <a:solidFill>
          <a:srgbClr val="FFFF00"/>
        </a:solidFill>
        <a:ln cap="flat" cmpd="sng" w="28575">
          <a:solidFill>
            <a:srgbClr val="0C0C0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Ae*n*Bsat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Isat=  -----------------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L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</xdr:row>
      <xdr:rowOff>28575</xdr:rowOff>
    </xdr:from>
    <xdr:ext cx="2238375" cy="1724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</xdr:colOff>
      <xdr:row>7</xdr:row>
      <xdr:rowOff>85725</xdr:rowOff>
    </xdr:from>
    <xdr:ext cx="2247900" cy="1809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3</xdr:row>
      <xdr:rowOff>114300</xdr:rowOff>
    </xdr:from>
    <xdr:ext cx="2181225" cy="1695450"/>
    <xdr:pic>
      <xdr:nvPicPr>
        <xdr:cNvPr descr="Afficher l'image d'origine" id="0" name="image4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4</xdr:row>
      <xdr:rowOff>38100</xdr:rowOff>
    </xdr:from>
    <xdr:ext cx="2181225" cy="1714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</xdr:colOff>
      <xdr:row>7</xdr:row>
      <xdr:rowOff>85725</xdr:rowOff>
    </xdr:from>
    <xdr:ext cx="2247900" cy="1809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685800</xdr:colOff>
      <xdr:row>15</xdr:row>
      <xdr:rowOff>85725</xdr:rowOff>
    </xdr:from>
    <xdr:ext cx="2952750" cy="762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20</xdr:row>
      <xdr:rowOff>123825</xdr:rowOff>
    </xdr:from>
    <xdr:ext cx="5229225" cy="3314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rv-app\100$\Articles\FAMG02-ET-00\2-Etude\Etude_supports\3%20-%20Sch&#233;mas\Calcul_Convertisseur_12V_AMG02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3-Produit\3-%20Technique\BAH\BAH06\3-%20Developpement\3-1%20Hardware\3-1-9-%20Buck\Self%20ferrite2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y-delacalle.ALPHEE-DEV/Desktop/boost/Boost_250316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y-delacalle.ALPHEE-DEV/Desktop/Pont/Pon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mi Pont-PM"/>
      <sheetName val="MOSFET"/>
      <sheetName val="Diode"/>
      <sheetName val="Noyau"/>
      <sheetName val="Self"/>
      <sheetName val="Transfo1"/>
      <sheetName val="Fil de Litz"/>
      <sheetName val="Specification Self 12V"/>
      <sheetName val="Specification Se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lf ferrite"/>
      <sheetName val="Donnée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oost"/>
      <sheetName val="1MOS"/>
      <sheetName val="2MOS"/>
      <sheetName val="Diode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ntH"/>
      <sheetName val="1MOS"/>
      <sheetName val="2MOS"/>
      <sheetName val="TRANSF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13.29"/>
    <col customWidth="1" min="3" max="4" width="11.57"/>
    <col customWidth="1" min="5" max="16" width="10.71"/>
    <col customWidth="1" min="17" max="17" width="17.29"/>
    <col customWidth="1" min="18" max="18" width="20.86"/>
    <col customWidth="1" min="19" max="19" width="13.29"/>
    <col customWidth="1" min="20" max="30" width="10.71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  <c r="T1" s="1"/>
    </row>
    <row r="2" ht="14.25" customHeight="1">
      <c r="A2" s="1" t="s">
        <v>17</v>
      </c>
      <c r="B2" s="1">
        <v>71.0</v>
      </c>
      <c r="C2" s="1"/>
      <c r="D2" s="1">
        <v>97.0</v>
      </c>
      <c r="E2" s="1">
        <f t="shared" ref="E2:E26" si="1">B2*D2</f>
        <v>6887</v>
      </c>
      <c r="F2" s="3">
        <v>70.4</v>
      </c>
      <c r="G2" s="4">
        <v>5350.0</v>
      </c>
      <c r="H2" s="1">
        <v>1670.0</v>
      </c>
      <c r="I2" s="1">
        <f t="shared" ref="I2:I37" si="2">10^9/((1/(4*PI()*10^-7*H2))*(F2*10^-3)/(B2*10^-6))</f>
        <v>2116.469551</v>
      </c>
      <c r="J2" s="1">
        <v>9.8</v>
      </c>
      <c r="K2" s="1">
        <v>2250.0</v>
      </c>
      <c r="L2" s="1">
        <v>124.0</v>
      </c>
      <c r="M2" s="2">
        <v>-0.7</v>
      </c>
      <c r="N2" s="1">
        <v>176.0</v>
      </c>
      <c r="O2" s="1">
        <v>-0.873</v>
      </c>
      <c r="P2" s="1"/>
      <c r="Q2" s="1"/>
      <c r="R2" s="1"/>
      <c r="S2" s="1"/>
      <c r="T2" s="1"/>
    </row>
    <row r="3" ht="14.25" customHeight="1">
      <c r="A3" s="1" t="s">
        <v>18</v>
      </c>
      <c r="B3" s="1">
        <v>91.6</v>
      </c>
      <c r="C3" s="1">
        <v>96.77</v>
      </c>
      <c r="D3" s="1">
        <v>122.0</v>
      </c>
      <c r="E3" s="5">
        <f t="shared" si="1"/>
        <v>11175.2</v>
      </c>
      <c r="F3" s="3">
        <v>78.6</v>
      </c>
      <c r="G3" s="4">
        <v>7630.0</v>
      </c>
      <c r="H3" s="1">
        <v>1710.0</v>
      </c>
      <c r="I3" s="1">
        <f t="shared" si="2"/>
        <v>2504.257033</v>
      </c>
      <c r="J3" s="1">
        <v>11.1</v>
      </c>
      <c r="K3" s="1">
        <v>2650.0</v>
      </c>
      <c r="L3" s="1">
        <v>154.0</v>
      </c>
      <c r="M3" s="2">
        <v>-0.713</v>
      </c>
      <c r="N3" s="1">
        <v>222.0</v>
      </c>
      <c r="O3" s="1">
        <v>-0.873</v>
      </c>
      <c r="P3" s="1"/>
      <c r="Q3" s="1"/>
      <c r="R3" s="1"/>
      <c r="S3" s="1"/>
      <c r="T3" s="1"/>
    </row>
    <row r="4" ht="14.25" customHeight="1">
      <c r="A4" s="1" t="s">
        <v>19</v>
      </c>
      <c r="B4" s="1">
        <v>123.0</v>
      </c>
      <c r="C4" s="1">
        <v>128.67</v>
      </c>
      <c r="D4" s="1">
        <v>178.0</v>
      </c>
      <c r="E4" s="1">
        <f t="shared" si="1"/>
        <v>21894</v>
      </c>
      <c r="F4" s="3">
        <v>92.2</v>
      </c>
      <c r="G4" s="4">
        <v>11500.0</v>
      </c>
      <c r="H4" s="1">
        <v>1650.0</v>
      </c>
      <c r="I4" s="1">
        <f t="shared" si="2"/>
        <v>2766.100777</v>
      </c>
      <c r="J4" s="1">
        <v>12.8</v>
      </c>
      <c r="K4" s="1">
        <v>2800.0</v>
      </c>
      <c r="L4" s="1">
        <v>196.0</v>
      </c>
      <c r="M4" s="2">
        <v>-0.734</v>
      </c>
      <c r="N4" s="1">
        <v>280.0</v>
      </c>
      <c r="O4" s="1">
        <v>-0.873</v>
      </c>
      <c r="P4" s="1"/>
      <c r="Q4" s="1"/>
      <c r="R4" s="1"/>
      <c r="S4" s="1"/>
      <c r="T4" s="1"/>
    </row>
    <row r="5" ht="14.25" customHeight="1">
      <c r="A5" s="1" t="s">
        <v>20</v>
      </c>
      <c r="B5" s="1">
        <v>172.0</v>
      </c>
      <c r="C5" s="1">
        <v>173.0</v>
      </c>
      <c r="D5" s="1">
        <v>210.0</v>
      </c>
      <c r="E5" s="1">
        <f t="shared" si="1"/>
        <v>36120</v>
      </c>
      <c r="F5" s="3">
        <v>103.0</v>
      </c>
      <c r="G5" s="4">
        <v>17800.0</v>
      </c>
      <c r="H5" s="1">
        <v>1720.0</v>
      </c>
      <c r="I5" s="1">
        <f t="shared" si="2"/>
        <v>3609.354449</v>
      </c>
      <c r="J5" s="1">
        <v>15.2</v>
      </c>
      <c r="K5" s="1">
        <v>3600.0</v>
      </c>
      <c r="L5" s="1">
        <v>262.0</v>
      </c>
      <c r="M5" s="2">
        <v>-0.74</v>
      </c>
      <c r="N5" s="1">
        <v>382.0</v>
      </c>
      <c r="O5" s="1">
        <v>-0.873</v>
      </c>
      <c r="P5" s="1"/>
      <c r="Q5" s="1"/>
      <c r="R5" s="1"/>
      <c r="S5" s="1"/>
      <c r="T5" s="1"/>
    </row>
    <row r="6" ht="14.25" customHeight="1">
      <c r="A6" s="1" t="s">
        <v>21</v>
      </c>
      <c r="B6" s="3">
        <v>209.0</v>
      </c>
      <c r="C6" s="3"/>
      <c r="D6" s="1">
        <v>269.4</v>
      </c>
      <c r="E6" s="1">
        <f t="shared" si="1"/>
        <v>56304.6</v>
      </c>
      <c r="F6" s="3">
        <v>114.0</v>
      </c>
      <c r="G6" s="4">
        <v>24100.0</v>
      </c>
      <c r="H6" s="4">
        <v>1680.0</v>
      </c>
      <c r="I6" s="1">
        <f t="shared" si="2"/>
        <v>3870.442149</v>
      </c>
      <c r="J6" s="4">
        <v>16.7</v>
      </c>
      <c r="K6" s="1">
        <v>3900.0</v>
      </c>
      <c r="L6" s="1">
        <v>314.0</v>
      </c>
      <c r="M6" s="2">
        <v>-0.741</v>
      </c>
      <c r="N6" s="1">
        <v>460.0</v>
      </c>
      <c r="O6" s="1">
        <v>-0.873</v>
      </c>
      <c r="P6" s="1"/>
      <c r="Q6" s="1"/>
      <c r="R6" s="1"/>
      <c r="S6" s="1"/>
      <c r="T6" s="1"/>
    </row>
    <row r="7" ht="14.25" customHeight="1">
      <c r="A7" s="1" t="s">
        <v>22</v>
      </c>
      <c r="B7" s="3">
        <v>280.0</v>
      </c>
      <c r="C7" s="3"/>
      <c r="D7" s="1">
        <v>315.6</v>
      </c>
      <c r="E7" s="1">
        <f t="shared" si="1"/>
        <v>88368</v>
      </c>
      <c r="F7" s="3">
        <v>127.0</v>
      </c>
      <c r="G7" s="4">
        <v>35600.0</v>
      </c>
      <c r="H7" s="4">
        <v>1650.0</v>
      </c>
      <c r="I7" s="1">
        <f t="shared" si="2"/>
        <v>4571.388365</v>
      </c>
      <c r="J7" s="4">
        <v>19.3</v>
      </c>
      <c r="K7" s="1">
        <v>4600.0</v>
      </c>
      <c r="L7" s="1">
        <v>393.0</v>
      </c>
      <c r="M7" s="2">
        <v>-0.779</v>
      </c>
      <c r="N7" s="1">
        <v>603.0</v>
      </c>
      <c r="O7" s="1">
        <v>-0.873</v>
      </c>
      <c r="P7" s="1"/>
      <c r="Q7" s="1"/>
      <c r="R7" s="1"/>
      <c r="S7" s="1"/>
      <c r="T7" s="1"/>
    </row>
    <row r="8" ht="14.25" customHeight="1">
      <c r="A8" s="1" t="s">
        <v>23</v>
      </c>
      <c r="B8" s="3">
        <v>368.0</v>
      </c>
      <c r="C8" s="3"/>
      <c r="D8" s="1">
        <v>365.6</v>
      </c>
      <c r="E8" s="1">
        <f t="shared" si="1"/>
        <v>134540.8</v>
      </c>
      <c r="F8" s="3">
        <v>139.0</v>
      </c>
      <c r="G8" s="4">
        <v>51200.0</v>
      </c>
      <c r="H8" s="4">
        <v>1660.0</v>
      </c>
      <c r="I8" s="1">
        <f t="shared" si="2"/>
        <v>5522.693871</v>
      </c>
      <c r="J8" s="4">
        <v>22.1</v>
      </c>
      <c r="K8" s="1">
        <v>5500.0</v>
      </c>
      <c r="L8" s="1">
        <v>508.0</v>
      </c>
      <c r="M8" s="2">
        <v>-0.708</v>
      </c>
      <c r="N8" s="1">
        <v>783.0</v>
      </c>
      <c r="O8" s="1">
        <v>-0.873</v>
      </c>
      <c r="P8" s="1"/>
      <c r="Q8" s="1"/>
      <c r="R8" s="1"/>
      <c r="S8" s="1"/>
      <c r="T8" s="1"/>
    </row>
    <row r="9" ht="14.25" customHeight="1">
      <c r="A9" s="1" t="s">
        <v>24</v>
      </c>
      <c r="B9" s="1">
        <v>6.5</v>
      </c>
      <c r="C9" s="1"/>
      <c r="D9" s="1">
        <v>11.6</v>
      </c>
      <c r="E9" s="1">
        <f t="shared" si="1"/>
        <v>75.4</v>
      </c>
      <c r="F9" s="1">
        <v>23.1</v>
      </c>
      <c r="G9" s="1">
        <v>166.0</v>
      </c>
      <c r="H9" s="1">
        <v>1150.0</v>
      </c>
      <c r="I9" s="1">
        <f t="shared" si="2"/>
        <v>406.6390491</v>
      </c>
      <c r="J9" s="1">
        <v>1.45</v>
      </c>
      <c r="K9" s="1">
        <v>470.0</v>
      </c>
      <c r="L9" s="1"/>
      <c r="M9" s="1"/>
      <c r="N9" s="1"/>
      <c r="O9" s="1"/>
      <c r="P9" s="1"/>
      <c r="Q9" s="1"/>
      <c r="R9" s="1"/>
      <c r="S9" s="1"/>
      <c r="T9" s="1"/>
    </row>
    <row r="10" ht="14.25" customHeight="1">
      <c r="A10" s="1" t="s">
        <v>25</v>
      </c>
      <c r="B10" s="1">
        <v>12.2</v>
      </c>
      <c r="C10" s="1"/>
      <c r="D10" s="1">
        <v>18.1</v>
      </c>
      <c r="E10" s="1">
        <f t="shared" si="1"/>
        <v>220.82</v>
      </c>
      <c r="F10" s="3">
        <v>34.0</v>
      </c>
      <c r="G10" s="4">
        <v>510.0</v>
      </c>
      <c r="H10" s="1">
        <v>1480.0</v>
      </c>
      <c r="I10" s="1">
        <f t="shared" si="2"/>
        <v>667.3481994</v>
      </c>
      <c r="J10" s="1">
        <v>2.4</v>
      </c>
      <c r="K10" s="1">
        <v>820.0</v>
      </c>
      <c r="L10" s="5">
        <v>29.7</v>
      </c>
      <c r="M10" s="2">
        <v>-0.676</v>
      </c>
      <c r="N10" s="5">
        <v>33.2</v>
      </c>
      <c r="O10" s="1">
        <v>-0.873</v>
      </c>
      <c r="P10" s="1"/>
      <c r="Q10" s="1"/>
      <c r="R10" s="1"/>
      <c r="S10" s="1"/>
      <c r="T10" s="1"/>
    </row>
    <row r="11" ht="14.25" customHeight="1">
      <c r="A11" s="1" t="s">
        <v>26</v>
      </c>
      <c r="B11" s="1">
        <v>31.0</v>
      </c>
      <c r="C11" s="1"/>
      <c r="D11" s="1">
        <v>28.1</v>
      </c>
      <c r="E11" s="1">
        <f t="shared" si="1"/>
        <v>871.1</v>
      </c>
      <c r="F11" s="3">
        <v>47.0</v>
      </c>
      <c r="G11" s="4">
        <v>1460.0</v>
      </c>
      <c r="H11" s="1">
        <v>1510.0</v>
      </c>
      <c r="I11" s="1">
        <f t="shared" si="2"/>
        <v>1251.557039</v>
      </c>
      <c r="J11" s="1">
        <v>3.6</v>
      </c>
      <c r="K11" s="1">
        <v>1250.0</v>
      </c>
      <c r="L11" s="5">
        <v>61.1</v>
      </c>
      <c r="M11" s="2">
        <v>-0.699</v>
      </c>
      <c r="N11" s="5">
        <v>75.7</v>
      </c>
      <c r="O11" s="1">
        <v>-0.873</v>
      </c>
      <c r="P11" s="1"/>
      <c r="Q11" s="1"/>
      <c r="R11" s="1"/>
      <c r="S11" s="1"/>
      <c r="T11" s="1"/>
    </row>
    <row r="12" ht="14.25" customHeight="1">
      <c r="A12" s="1" t="s">
        <v>27</v>
      </c>
      <c r="B12" s="1">
        <v>57.0</v>
      </c>
      <c r="C12" s="1"/>
      <c r="D12" s="1">
        <v>40.7</v>
      </c>
      <c r="E12" s="1">
        <f t="shared" si="1"/>
        <v>2319.9</v>
      </c>
      <c r="F12" s="3">
        <v>57.0</v>
      </c>
      <c r="G12" s="4">
        <v>3310.0</v>
      </c>
      <c r="H12" s="1">
        <v>1640.0</v>
      </c>
      <c r="I12" s="1">
        <f t="shared" si="2"/>
        <v>2060.884781</v>
      </c>
      <c r="J12" s="1">
        <v>5.2</v>
      </c>
      <c r="K12" s="1">
        <v>2100.0</v>
      </c>
      <c r="L12" s="5">
        <v>103.0</v>
      </c>
      <c r="M12" s="2">
        <v>-0.734</v>
      </c>
      <c r="N12" s="5">
        <v>138.0</v>
      </c>
      <c r="O12" s="1">
        <v>-0.873</v>
      </c>
      <c r="P12" s="1"/>
      <c r="Q12" s="1"/>
      <c r="R12" s="1"/>
      <c r="S12" s="1"/>
      <c r="T12" s="1"/>
    </row>
    <row r="13" ht="14.25" customHeight="1">
      <c r="A13" s="1" t="s">
        <v>28</v>
      </c>
      <c r="B13" s="1">
        <v>69.0</v>
      </c>
      <c r="C13" s="1"/>
      <c r="D13" s="1">
        <v>52.3</v>
      </c>
      <c r="E13" s="1">
        <f t="shared" si="1"/>
        <v>3608.7</v>
      </c>
      <c r="F13" s="3">
        <v>68.0</v>
      </c>
      <c r="G13" s="4">
        <v>4690.0</v>
      </c>
      <c r="H13" s="1">
        <v>1690.0</v>
      </c>
      <c r="I13" s="1">
        <f t="shared" si="2"/>
        <v>2154.947761</v>
      </c>
      <c r="J13" s="1">
        <v>4.9</v>
      </c>
      <c r="K13" s="1">
        <v>2150.0</v>
      </c>
      <c r="L13" s="5">
        <v>125.0</v>
      </c>
      <c r="M13" s="2">
        <v>-0.712</v>
      </c>
      <c r="N13" s="5">
        <v>161.0</v>
      </c>
      <c r="O13" s="1">
        <v>-0.873</v>
      </c>
      <c r="P13" s="1"/>
      <c r="Q13" s="1"/>
      <c r="R13" s="1"/>
      <c r="S13" s="1"/>
      <c r="T13" s="1"/>
    </row>
    <row r="14" ht="14.25" customHeight="1">
      <c r="A14" s="1" t="s">
        <v>29</v>
      </c>
      <c r="B14" s="1">
        <v>61.0</v>
      </c>
      <c r="C14" s="1">
        <v>61.0</v>
      </c>
      <c r="D14" s="1">
        <v>111.8</v>
      </c>
      <c r="E14" s="1">
        <f t="shared" si="1"/>
        <v>6819.8</v>
      </c>
      <c r="F14" s="3">
        <v>82.0</v>
      </c>
      <c r="G14" s="4">
        <v>4190.0</v>
      </c>
      <c r="H14" s="1">
        <v>1690.0</v>
      </c>
      <c r="I14" s="1">
        <f t="shared" si="2"/>
        <v>1579.837984</v>
      </c>
      <c r="J14" s="1">
        <v>15.0</v>
      </c>
      <c r="K14" s="1">
        <v>1570.0</v>
      </c>
      <c r="L14" s="5"/>
      <c r="M14" s="2"/>
      <c r="N14" s="5"/>
      <c r="O14" s="1"/>
      <c r="P14" s="1"/>
      <c r="Q14" s="1"/>
      <c r="R14" s="1"/>
      <c r="S14" s="1"/>
      <c r="T14" s="1"/>
    </row>
    <row r="15" ht="14.25" customHeight="1">
      <c r="A15" s="1" t="s">
        <v>30</v>
      </c>
      <c r="B15" s="1">
        <v>90.0</v>
      </c>
      <c r="C15" s="1"/>
      <c r="D15" s="1">
        <v>41.5</v>
      </c>
      <c r="E15" s="1">
        <f t="shared" si="1"/>
        <v>3735</v>
      </c>
      <c r="F15" s="1"/>
      <c r="G15" s="1"/>
      <c r="H15" s="1"/>
      <c r="I15" s="1" t="str">
        <f t="shared" si="2"/>
        <v>#DIV/0!</v>
      </c>
      <c r="J15" s="1">
        <v>10.9</v>
      </c>
      <c r="K15" s="1">
        <v>4200.0</v>
      </c>
      <c r="L15" s="1"/>
      <c r="M15" s="1"/>
      <c r="N15" s="1"/>
      <c r="O15" s="1"/>
      <c r="P15" s="1"/>
      <c r="Q15" s="1"/>
      <c r="R15" s="1"/>
      <c r="S15" s="1"/>
      <c r="T15" s="1"/>
    </row>
    <row r="16" ht="14.25" customHeight="1">
      <c r="A16" s="1" t="s">
        <v>31</v>
      </c>
      <c r="B16" s="1">
        <v>125.0</v>
      </c>
      <c r="C16" s="1"/>
      <c r="D16" s="1">
        <v>73.0</v>
      </c>
      <c r="E16" s="1">
        <f t="shared" si="1"/>
        <v>9125</v>
      </c>
      <c r="F16" s="1"/>
      <c r="G16" s="1"/>
      <c r="H16" s="1"/>
      <c r="I16" s="1" t="str">
        <f t="shared" si="2"/>
        <v>#DIV/0!</v>
      </c>
      <c r="J16" s="1">
        <v>12.8</v>
      </c>
      <c r="K16" s="1">
        <v>5300.0</v>
      </c>
      <c r="L16" s="1"/>
      <c r="M16" s="1"/>
      <c r="N16" s="1"/>
      <c r="O16" s="1"/>
      <c r="P16" s="1"/>
      <c r="Q16" s="1"/>
      <c r="R16" s="1"/>
      <c r="S16" s="1"/>
      <c r="T16" s="1"/>
    </row>
    <row r="17" ht="14.25" customHeight="1">
      <c r="A17" s="1" t="s">
        <v>32</v>
      </c>
      <c r="B17" s="1">
        <v>280.0</v>
      </c>
      <c r="C17" s="1">
        <v>370.0</v>
      </c>
      <c r="D17" s="1">
        <v>154.0</v>
      </c>
      <c r="E17" s="1">
        <f t="shared" si="1"/>
        <v>43120</v>
      </c>
      <c r="F17" s="1">
        <v>84.0</v>
      </c>
      <c r="G17" s="1">
        <v>31000.0</v>
      </c>
      <c r="H17" s="1">
        <v>1340.0</v>
      </c>
      <c r="I17" s="1">
        <f t="shared" si="2"/>
        <v>5612.978874</v>
      </c>
      <c r="J17" s="1">
        <v>20.0</v>
      </c>
      <c r="K17" s="1">
        <v>7400.0</v>
      </c>
      <c r="L17" s="1"/>
      <c r="M17" s="1"/>
      <c r="N17" s="1"/>
      <c r="O17" s="1"/>
      <c r="P17" s="1"/>
      <c r="Q17" s="1"/>
      <c r="R17" s="1"/>
      <c r="S17" s="1"/>
      <c r="T17" s="1"/>
    </row>
    <row r="18" ht="14.25" customHeight="1">
      <c r="A18" s="1" t="s">
        <v>33</v>
      </c>
      <c r="B18" s="1">
        <v>108.7</v>
      </c>
      <c r="C18" s="1">
        <v>122.2</v>
      </c>
      <c r="D18" s="1">
        <v>47.0</v>
      </c>
      <c r="E18" s="1">
        <f t="shared" si="1"/>
        <v>5108.9</v>
      </c>
      <c r="F18" s="1">
        <v>53.6</v>
      </c>
      <c r="G18" s="1">
        <v>6530.0</v>
      </c>
      <c r="H18" s="1">
        <v>1980.0</v>
      </c>
      <c r="I18" s="1">
        <f t="shared" si="2"/>
        <v>5045.913586</v>
      </c>
      <c r="J18" s="1">
        <v>12.0</v>
      </c>
      <c r="K18" s="1">
        <v>5700.0</v>
      </c>
      <c r="L18" s="1"/>
      <c r="M18" s="1"/>
      <c r="N18" s="1"/>
      <c r="O18" s="1"/>
      <c r="P18" s="1"/>
      <c r="Q18" s="1"/>
      <c r="R18" s="1"/>
      <c r="S18" s="1"/>
      <c r="T18" s="1"/>
    </row>
    <row r="19" ht="14.25" customHeight="1">
      <c r="A19" s="1" t="s">
        <v>34</v>
      </c>
      <c r="B19" s="1">
        <v>127.5</v>
      </c>
      <c r="C19" s="1">
        <v>153.8</v>
      </c>
      <c r="D19" s="1">
        <v>104.0</v>
      </c>
      <c r="E19" s="1">
        <f t="shared" si="1"/>
        <v>13260</v>
      </c>
      <c r="F19" s="1">
        <v>67.8</v>
      </c>
      <c r="G19" s="1">
        <v>10440.0</v>
      </c>
      <c r="H19" s="1">
        <v>1760.0</v>
      </c>
      <c r="I19" s="1">
        <f t="shared" si="2"/>
        <v>4159.135053</v>
      </c>
      <c r="J19" s="1">
        <v>13.45</v>
      </c>
      <c r="K19" s="1">
        <v>5000.0</v>
      </c>
      <c r="L19" s="1"/>
      <c r="M19" s="1"/>
      <c r="N19" s="1"/>
      <c r="O19" s="1"/>
      <c r="P19" s="1"/>
      <c r="Q19" s="1"/>
      <c r="R19" s="1"/>
      <c r="S19" s="1"/>
      <c r="T19" s="1"/>
    </row>
    <row r="20" ht="14.25" customHeight="1">
      <c r="A20" s="1" t="s">
        <v>35</v>
      </c>
      <c r="B20" s="1">
        <v>161.0</v>
      </c>
      <c r="C20" s="1">
        <v>171.0</v>
      </c>
      <c r="D20" s="1">
        <f>((32-14.35)/2)*12.5*2</f>
        <v>220.625</v>
      </c>
      <c r="E20" s="1">
        <f t="shared" si="1"/>
        <v>35520.625</v>
      </c>
      <c r="F20" s="1">
        <v>79.7</v>
      </c>
      <c r="G20" s="1">
        <v>13650.0</v>
      </c>
      <c r="H20" s="1">
        <v>1750.0</v>
      </c>
      <c r="I20" s="1">
        <f t="shared" si="2"/>
        <v>4442.377567</v>
      </c>
      <c r="J20" s="1">
        <v>14.35</v>
      </c>
      <c r="K20" s="1">
        <v>5700.0</v>
      </c>
      <c r="L20" s="1"/>
      <c r="M20" s="1"/>
      <c r="N20" s="1"/>
      <c r="O20" s="1"/>
      <c r="P20" s="1"/>
      <c r="Q20" s="1"/>
      <c r="R20" s="1"/>
      <c r="S20" s="1"/>
      <c r="T20" s="1"/>
    </row>
    <row r="21" ht="14.25" customHeight="1">
      <c r="A21" s="1" t="s">
        <v>36</v>
      </c>
      <c r="B21" s="1">
        <v>174.0</v>
      </c>
      <c r="C21" s="1">
        <v>189.0</v>
      </c>
      <c r="D21" s="1">
        <v>309.0</v>
      </c>
      <c r="E21" s="1">
        <f t="shared" si="1"/>
        <v>53766</v>
      </c>
      <c r="F21" s="1">
        <v>93.0</v>
      </c>
      <c r="G21" s="1">
        <v>17580.0</v>
      </c>
      <c r="H21" s="1">
        <v>2145.0</v>
      </c>
      <c r="I21" s="1">
        <f t="shared" si="2"/>
        <v>5043.168284</v>
      </c>
      <c r="J21" s="1">
        <v>14.9</v>
      </c>
      <c r="K21" s="1">
        <v>4300.0</v>
      </c>
      <c r="L21" s="1"/>
      <c r="M21" s="1"/>
      <c r="N21" s="1"/>
      <c r="O21" s="1"/>
      <c r="P21" s="1">
        <v>25.4</v>
      </c>
      <c r="Q21" s="1">
        <v>25.95</v>
      </c>
      <c r="R21" s="1">
        <v>25.95</v>
      </c>
      <c r="S21" s="1"/>
      <c r="T21" s="1"/>
    </row>
    <row r="22" ht="14.25" customHeight="1">
      <c r="A22" s="1" t="s">
        <v>37</v>
      </c>
      <c r="B22" s="1">
        <v>314.0</v>
      </c>
      <c r="C22" s="1">
        <v>332.0</v>
      </c>
      <c r="D22" s="1">
        <v>340.0</v>
      </c>
      <c r="E22" s="1">
        <f t="shared" si="1"/>
        <v>106760</v>
      </c>
      <c r="F22" s="1">
        <v>113.0</v>
      </c>
      <c r="G22" s="1">
        <v>37630.0</v>
      </c>
      <c r="H22" s="1">
        <v>2230.0</v>
      </c>
      <c r="I22" s="1">
        <f t="shared" si="2"/>
        <v>7786.923922</v>
      </c>
      <c r="J22" s="1">
        <v>20.0</v>
      </c>
      <c r="K22" s="1">
        <v>6500.0</v>
      </c>
      <c r="L22" s="1"/>
      <c r="M22" s="1"/>
      <c r="N22" s="1"/>
      <c r="O22" s="1"/>
      <c r="P22" s="1">
        <v>30.0</v>
      </c>
      <c r="Q22" s="1">
        <v>27.35</v>
      </c>
      <c r="R22" s="1">
        <v>27.35</v>
      </c>
      <c r="S22" s="1"/>
      <c r="T22" s="1"/>
    </row>
    <row r="23" ht="14.25" customHeight="1">
      <c r="A23" s="1" t="s">
        <v>38</v>
      </c>
      <c r="B23" s="1">
        <v>597.0</v>
      </c>
      <c r="C23" s="1"/>
      <c r="D23" s="1">
        <v>532.0</v>
      </c>
      <c r="E23" s="1">
        <f t="shared" si="1"/>
        <v>317604</v>
      </c>
      <c r="F23" s="1">
        <v>123.0</v>
      </c>
      <c r="G23" s="1">
        <v>73552.0</v>
      </c>
      <c r="H23" s="1">
        <v>2250.0</v>
      </c>
      <c r="I23" s="1">
        <f t="shared" si="2"/>
        <v>13723.3962</v>
      </c>
      <c r="J23" s="1">
        <v>26.0</v>
      </c>
      <c r="K23" s="1">
        <v>13500.0</v>
      </c>
      <c r="L23" s="1"/>
      <c r="M23" s="1"/>
      <c r="N23" s="1"/>
      <c r="O23" s="1"/>
      <c r="P23" s="1"/>
      <c r="Q23" s="1"/>
      <c r="R23" s="1"/>
      <c r="S23" s="1"/>
      <c r="T23" s="1"/>
    </row>
    <row r="24" ht="14.25" customHeight="1">
      <c r="A24" s="1" t="s">
        <v>39</v>
      </c>
      <c r="B24" s="1">
        <v>60.0</v>
      </c>
      <c r="C24" s="1">
        <v>78.0</v>
      </c>
      <c r="D24" s="1">
        <v>35.4</v>
      </c>
      <c r="E24" s="1">
        <f t="shared" si="1"/>
        <v>2124</v>
      </c>
      <c r="F24" s="1">
        <v>40.0</v>
      </c>
      <c r="G24" s="1">
        <v>3120.0</v>
      </c>
      <c r="H24" s="1">
        <v>1630.0</v>
      </c>
      <c r="I24" s="1">
        <f t="shared" si="2"/>
        <v>3072.477615</v>
      </c>
      <c r="J24" s="1">
        <v>16.1</v>
      </c>
      <c r="K24" s="1">
        <v>4000.0</v>
      </c>
      <c r="L24" s="1"/>
      <c r="M24" s="1"/>
      <c r="N24" s="1"/>
      <c r="O24" s="1"/>
      <c r="P24" s="1"/>
      <c r="Q24" s="1"/>
      <c r="R24" s="1"/>
      <c r="S24" s="1"/>
      <c r="T24" s="1"/>
    </row>
    <row r="25" ht="14.25" customHeight="1">
      <c r="A25" s="1" t="s">
        <v>40</v>
      </c>
      <c r="B25" s="1">
        <v>150.0</v>
      </c>
      <c r="C25" s="1">
        <v>150.0</v>
      </c>
      <c r="D25" s="1">
        <v>140.0</v>
      </c>
      <c r="E25" s="1">
        <f t="shared" si="1"/>
        <v>21000</v>
      </c>
      <c r="F25" s="1">
        <v>90.0</v>
      </c>
      <c r="G25" s="1">
        <v>13500.0</v>
      </c>
      <c r="H25" s="1"/>
      <c r="I25" s="1" t="str">
        <f t="shared" si="2"/>
        <v>#DIV/0!</v>
      </c>
      <c r="J25" s="1">
        <v>10.0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4.25" customHeight="1">
      <c r="A26" s="1" t="s">
        <v>41</v>
      </c>
      <c r="B26" s="1">
        <v>98.5</v>
      </c>
      <c r="C26" s="1">
        <v>100.5</v>
      </c>
      <c r="D26" s="1">
        <v>49.95</v>
      </c>
      <c r="E26" s="1">
        <f t="shared" si="1"/>
        <v>4920.075</v>
      </c>
      <c r="F26" s="1">
        <v>38.3</v>
      </c>
      <c r="G26" s="1">
        <v>3847.0</v>
      </c>
      <c r="H26" s="1">
        <v>1350.0</v>
      </c>
      <c r="I26" s="1">
        <f t="shared" si="2"/>
        <v>4362.95857</v>
      </c>
      <c r="J26" s="1">
        <v>29.7</v>
      </c>
      <c r="K26" s="1">
        <v>5000.0</v>
      </c>
      <c r="L26" s="1"/>
      <c r="M26" s="1"/>
      <c r="N26" s="1"/>
      <c r="O26" s="1"/>
      <c r="P26" s="1"/>
      <c r="Q26" s="1"/>
      <c r="R26" s="1"/>
      <c r="S26" s="1"/>
      <c r="T26" s="1"/>
    </row>
    <row r="27" ht="14.25" customHeight="1">
      <c r="A27" s="1" t="s">
        <v>42</v>
      </c>
      <c r="B27" s="1">
        <v>229.0</v>
      </c>
      <c r="C27" s="1">
        <v>229.0</v>
      </c>
      <c r="D27" s="1"/>
      <c r="E27" s="1"/>
      <c r="F27" s="1">
        <v>50.4</v>
      </c>
      <c r="G27" s="1">
        <v>11500.0</v>
      </c>
      <c r="H27" s="1">
        <v>2000.0</v>
      </c>
      <c r="I27" s="1">
        <f t="shared" si="2"/>
        <v>11419.43996</v>
      </c>
      <c r="J27" s="1">
        <v>8.1</v>
      </c>
      <c r="K27" s="1">
        <v>11060.0</v>
      </c>
      <c r="L27" s="1"/>
      <c r="M27" s="1"/>
      <c r="N27" s="1"/>
      <c r="O27" s="1"/>
      <c r="P27" s="1"/>
      <c r="Q27" s="1"/>
      <c r="R27" s="1"/>
      <c r="S27" s="1"/>
      <c r="T27" s="1"/>
    </row>
    <row r="28" ht="14.25" customHeight="1">
      <c r="A28" s="1" t="s">
        <v>43</v>
      </c>
      <c r="B28" s="1">
        <v>2.63</v>
      </c>
      <c r="C28" s="1">
        <v>2.66</v>
      </c>
      <c r="D28" s="1">
        <v>1.5</v>
      </c>
      <c r="E28" s="1">
        <f t="shared" ref="E28:E37" si="3">B28*D28</f>
        <v>3.945</v>
      </c>
      <c r="F28" s="1">
        <v>12.5</v>
      </c>
      <c r="G28" s="1">
        <v>33.3</v>
      </c>
      <c r="H28" s="1">
        <v>990.0</v>
      </c>
      <c r="I28" s="1">
        <f t="shared" si="2"/>
        <v>261.7524733</v>
      </c>
      <c r="J28" s="1">
        <v>1.4</v>
      </c>
      <c r="K28" s="1">
        <v>265.0</v>
      </c>
      <c r="L28" s="1"/>
      <c r="M28" s="1"/>
      <c r="N28" s="1"/>
      <c r="O28" s="1"/>
      <c r="P28" s="1"/>
      <c r="Q28" s="1"/>
      <c r="R28" s="1"/>
      <c r="S28" s="1"/>
      <c r="T28" s="1"/>
    </row>
    <row r="29" ht="14.25" customHeight="1">
      <c r="A29" s="1" t="s">
        <v>44</v>
      </c>
      <c r="B29" s="3">
        <v>12.2</v>
      </c>
      <c r="C29" s="3"/>
      <c r="D29" s="1">
        <v>11.6</v>
      </c>
      <c r="E29" s="1">
        <f t="shared" si="3"/>
        <v>141.52</v>
      </c>
      <c r="F29" s="3">
        <v>29.6</v>
      </c>
      <c r="G29" s="4">
        <v>367.0</v>
      </c>
      <c r="H29" s="4">
        <v>1620.0</v>
      </c>
      <c r="I29" s="1">
        <f t="shared" si="2"/>
        <v>839.0599622</v>
      </c>
      <c r="J29" s="4">
        <v>3.7</v>
      </c>
      <c r="K29" s="1">
        <v>850.0</v>
      </c>
      <c r="L29" s="1">
        <v>28.4</v>
      </c>
      <c r="M29" s="2">
        <v>-0.676</v>
      </c>
      <c r="N29" s="1">
        <v>32.1</v>
      </c>
      <c r="O29" s="1">
        <v>-0.873</v>
      </c>
      <c r="P29" s="1"/>
      <c r="Q29" s="1"/>
      <c r="R29" s="1"/>
      <c r="S29" s="1"/>
      <c r="T29" s="1"/>
    </row>
    <row r="30" ht="14.25" customHeight="1">
      <c r="A30" s="1" t="s">
        <v>45</v>
      </c>
      <c r="B30" s="3">
        <v>19.4</v>
      </c>
      <c r="C30" s="3">
        <v>20.1</v>
      </c>
      <c r="D30" s="1">
        <v>22.3</v>
      </c>
      <c r="E30" s="1">
        <f t="shared" si="3"/>
        <v>432.62</v>
      </c>
      <c r="F30" s="3">
        <v>37.6</v>
      </c>
      <c r="G30" s="4">
        <v>756.0</v>
      </c>
      <c r="H30" s="4">
        <v>1490.0</v>
      </c>
      <c r="I30" s="1">
        <f t="shared" si="2"/>
        <v>966.0731622</v>
      </c>
      <c r="J30" s="4">
        <v>4.7</v>
      </c>
      <c r="K30" s="1">
        <v>1000.0</v>
      </c>
      <c r="L30" s="1">
        <v>42.2</v>
      </c>
      <c r="M30" s="2">
        <f>-0.701</f>
        <v>-0.701</v>
      </c>
      <c r="N30" s="1">
        <v>50.4</v>
      </c>
      <c r="O30" s="1">
        <v>-0.873</v>
      </c>
      <c r="P30" s="1"/>
      <c r="Q30" s="1"/>
      <c r="R30" s="1"/>
      <c r="S30" s="1"/>
      <c r="T30" s="1"/>
    </row>
    <row r="31" ht="14.25" customHeight="1">
      <c r="A31" s="1" t="s">
        <v>46</v>
      </c>
      <c r="B31" s="1">
        <v>31.9</v>
      </c>
      <c r="C31" s="1">
        <v>34.81</v>
      </c>
      <c r="D31" s="1">
        <v>34.0</v>
      </c>
      <c r="E31" s="1">
        <f t="shared" si="3"/>
        <v>1084.6</v>
      </c>
      <c r="F31" s="1">
        <v>46.3</v>
      </c>
      <c r="G31" s="1">
        <v>1490.0</v>
      </c>
      <c r="H31" s="1">
        <v>1680.0</v>
      </c>
      <c r="I31" s="1">
        <f t="shared" si="2"/>
        <v>1454.550613</v>
      </c>
      <c r="J31" s="1">
        <v>5.9</v>
      </c>
      <c r="K31" s="1">
        <v>1470.0</v>
      </c>
      <c r="L31" s="1">
        <v>61.6</v>
      </c>
      <c r="M31" s="2">
        <v>-0.737</v>
      </c>
      <c r="N31" s="1">
        <v>78.4</v>
      </c>
      <c r="O31" s="1">
        <v>-0.873</v>
      </c>
      <c r="P31" s="1"/>
      <c r="Q31" s="1"/>
      <c r="R31" s="1"/>
      <c r="S31" s="1"/>
      <c r="T31" s="1"/>
    </row>
    <row r="32" ht="14.25" customHeight="1">
      <c r="A32" s="1" t="s">
        <v>47</v>
      </c>
      <c r="B32" s="1">
        <v>51.5</v>
      </c>
      <c r="C32" s="1">
        <v>56.25</v>
      </c>
      <c r="D32" s="1">
        <v>61.0</v>
      </c>
      <c r="E32" s="1">
        <f t="shared" si="3"/>
        <v>3141.5</v>
      </c>
      <c r="F32" s="1">
        <v>57.5</v>
      </c>
      <c r="G32" s="1">
        <v>3020.0</v>
      </c>
      <c r="H32" s="1">
        <v>1620.0</v>
      </c>
      <c r="I32" s="1">
        <f t="shared" si="2"/>
        <v>1823.32574</v>
      </c>
      <c r="J32" s="1">
        <v>7.5</v>
      </c>
      <c r="K32" s="1">
        <v>1850.0</v>
      </c>
      <c r="L32" s="1">
        <v>90.0</v>
      </c>
      <c r="M32" s="2">
        <v>-0.731</v>
      </c>
      <c r="N32" s="1">
        <v>125.0</v>
      </c>
      <c r="O32" s="1">
        <v>-0.873</v>
      </c>
      <c r="P32" s="1">
        <v>15.6</v>
      </c>
      <c r="Q32" s="1">
        <v>13.45</v>
      </c>
      <c r="R32" s="1">
        <v>13.45</v>
      </c>
      <c r="S32" s="1"/>
      <c r="T32" s="1"/>
    </row>
    <row r="33" ht="14.25" customHeight="1">
      <c r="A33" s="1" t="s">
        <v>48</v>
      </c>
      <c r="B33" s="1">
        <v>49.0</v>
      </c>
      <c r="C33" s="1">
        <v>60.0</v>
      </c>
      <c r="D33" s="1">
        <v>90.0</v>
      </c>
      <c r="E33" s="1">
        <f t="shared" si="3"/>
        <v>4410</v>
      </c>
      <c r="F33" s="1">
        <v>67.0</v>
      </c>
      <c r="G33" s="1">
        <v>4000.0</v>
      </c>
      <c r="H33" s="1">
        <v>1690.0</v>
      </c>
      <c r="I33" s="1">
        <f t="shared" si="2"/>
        <v>1553.165896</v>
      </c>
      <c r="J33" s="1">
        <v>7.2</v>
      </c>
      <c r="K33" s="1">
        <v>1900.0</v>
      </c>
      <c r="L33" s="1">
        <v>90.0</v>
      </c>
      <c r="M33" s="2">
        <v>-0.708</v>
      </c>
      <c r="N33" s="1">
        <v>140.0</v>
      </c>
      <c r="O33" s="1">
        <v>-0.873</v>
      </c>
      <c r="P33" s="1">
        <v>17.4</v>
      </c>
      <c r="Q33" s="1"/>
      <c r="R33" s="1"/>
      <c r="S33" s="1"/>
      <c r="T33" s="1"/>
    </row>
    <row r="34" ht="14.25" customHeight="1">
      <c r="A34" s="1" t="s">
        <v>49</v>
      </c>
      <c r="B34" s="1">
        <v>81.4</v>
      </c>
      <c r="C34" s="1">
        <v>83.0</v>
      </c>
      <c r="D34" s="1">
        <v>108.5</v>
      </c>
      <c r="E34" s="5">
        <f t="shared" si="3"/>
        <v>8831.9</v>
      </c>
      <c r="F34" s="1">
        <v>74.0</v>
      </c>
      <c r="G34" s="1">
        <v>6140.0</v>
      </c>
      <c r="H34" s="1">
        <v>1630.0</v>
      </c>
      <c r="I34" s="1">
        <f t="shared" si="2"/>
        <v>2253.150251</v>
      </c>
      <c r="J34" s="1">
        <v>9.5</v>
      </c>
      <c r="K34" s="1">
        <v>2300.0</v>
      </c>
      <c r="L34" s="5">
        <v>145.0</v>
      </c>
      <c r="M34" s="2">
        <v>-0.748</v>
      </c>
      <c r="N34" s="5">
        <v>191.0</v>
      </c>
      <c r="O34" s="1">
        <v>-0.873</v>
      </c>
      <c r="P34" s="1"/>
      <c r="Q34" s="1"/>
      <c r="R34" s="1"/>
      <c r="S34" s="1"/>
      <c r="T34" s="1"/>
    </row>
    <row r="35" ht="14.25" customHeight="1">
      <c r="A35" s="1" t="s">
        <v>50</v>
      </c>
      <c r="B35" s="1">
        <v>95.0</v>
      </c>
      <c r="C35" s="1">
        <v>97.0</v>
      </c>
      <c r="D35" s="1">
        <v>108.5</v>
      </c>
      <c r="E35" s="5">
        <f t="shared" si="3"/>
        <v>10307.5</v>
      </c>
      <c r="F35" s="1">
        <v>74.0</v>
      </c>
      <c r="G35" s="1">
        <v>7187.0</v>
      </c>
      <c r="H35" s="1">
        <v>1750.0</v>
      </c>
      <c r="I35" s="1">
        <f t="shared" si="2"/>
        <v>2823.187993</v>
      </c>
      <c r="J35" s="1">
        <v>9.5</v>
      </c>
      <c r="K35" s="1">
        <v>2900.0</v>
      </c>
      <c r="L35" s="5">
        <v>165.0</v>
      </c>
      <c r="M35" s="2">
        <v>-0.711</v>
      </c>
      <c r="N35" s="5">
        <v>223.0</v>
      </c>
      <c r="O35" s="1">
        <v>-0.873</v>
      </c>
      <c r="P35" s="1"/>
      <c r="Q35" s="1"/>
      <c r="R35" s="1"/>
      <c r="S35" s="1"/>
      <c r="T35" s="1"/>
    </row>
    <row r="36" ht="14.25" customHeight="1">
      <c r="A36" s="1" t="s">
        <v>51</v>
      </c>
      <c r="B36" s="1">
        <v>112.0</v>
      </c>
      <c r="C36" s="1">
        <v>120.0</v>
      </c>
      <c r="D36" s="1">
        <v>122.55</v>
      </c>
      <c r="E36" s="5">
        <f t="shared" si="3"/>
        <v>13725.6</v>
      </c>
      <c r="F36" s="1">
        <v>81.0</v>
      </c>
      <c r="G36" s="1">
        <v>9670.0</v>
      </c>
      <c r="H36" s="1">
        <v>1680.0</v>
      </c>
      <c r="I36" s="1">
        <f t="shared" si="2"/>
        <v>2919.121352</v>
      </c>
      <c r="J36" s="1">
        <v>10.2</v>
      </c>
      <c r="K36" s="1">
        <v>3100.0</v>
      </c>
      <c r="L36" s="1">
        <v>182.0</v>
      </c>
      <c r="M36" s="2">
        <v>-0.749</v>
      </c>
      <c r="N36" s="1">
        <v>273.0</v>
      </c>
      <c r="O36" s="1">
        <v>-0.873</v>
      </c>
      <c r="P36" s="1"/>
      <c r="Q36" s="1"/>
      <c r="R36" s="1"/>
      <c r="S36" s="1"/>
      <c r="T36" s="1"/>
    </row>
    <row r="37" ht="14.25" customHeight="1">
      <c r="A37" s="1" t="s">
        <v>52</v>
      </c>
      <c r="B37" s="1">
        <v>175.0</v>
      </c>
      <c r="C37" s="1">
        <v>178.0</v>
      </c>
      <c r="D37" s="1">
        <v>256.0</v>
      </c>
      <c r="E37" s="5">
        <f t="shared" si="3"/>
        <v>44800</v>
      </c>
      <c r="F37" s="1">
        <v>97.0</v>
      </c>
      <c r="G37" s="1">
        <v>17300.0</v>
      </c>
      <c r="H37" s="1">
        <v>1690.0</v>
      </c>
      <c r="I37" s="1">
        <f t="shared" si="2"/>
        <v>3831.447535</v>
      </c>
      <c r="J37" s="1">
        <v>12.2</v>
      </c>
      <c r="K37" s="1">
        <v>3950.0</v>
      </c>
      <c r="L37" s="1">
        <v>272.0</v>
      </c>
      <c r="M37" s="2">
        <v>-0.741</v>
      </c>
      <c r="N37" s="1">
        <v>396.0</v>
      </c>
      <c r="O37" s="1">
        <v>-0.873</v>
      </c>
      <c r="P37" s="1"/>
      <c r="Q37" s="1"/>
      <c r="R37" s="1"/>
      <c r="S37" s="1"/>
      <c r="T37" s="1"/>
    </row>
    <row r="38" ht="14.25" customHeight="1">
      <c r="A38" s="1" t="s">
        <v>53</v>
      </c>
      <c r="B38" s="1">
        <v>229.0</v>
      </c>
      <c r="C38" s="1">
        <v>244.0</v>
      </c>
      <c r="D38" s="1">
        <v>172.0</v>
      </c>
      <c r="E38" s="5">
        <v>39388.0</v>
      </c>
      <c r="F38" s="1">
        <v>97.0</v>
      </c>
      <c r="G38" s="1">
        <v>22700.0</v>
      </c>
      <c r="H38" s="1">
        <v>1690.0</v>
      </c>
      <c r="I38" s="1">
        <v>5013.722774704272</v>
      </c>
      <c r="J38" s="1">
        <v>12.2</v>
      </c>
      <c r="K38" s="1">
        <v>5200.0</v>
      </c>
      <c r="L38" s="1">
        <v>354.0</v>
      </c>
      <c r="M38" s="2">
        <v>-0.77</v>
      </c>
      <c r="N38" s="1">
        <v>521.0</v>
      </c>
      <c r="O38" s="1">
        <v>-0.873</v>
      </c>
      <c r="P38" s="1">
        <v>26.1</v>
      </c>
      <c r="Q38" s="1">
        <v>22.05</v>
      </c>
      <c r="R38" s="1">
        <v>29.85</v>
      </c>
      <c r="S38" s="1"/>
      <c r="T38" s="1"/>
    </row>
    <row r="39" ht="14.25" customHeight="1">
      <c r="A39" s="1" t="s">
        <v>54</v>
      </c>
      <c r="B39" s="1">
        <v>351.0</v>
      </c>
      <c r="C39" s="1">
        <v>361.2</v>
      </c>
      <c r="D39" s="1">
        <v>290.0</v>
      </c>
      <c r="E39" s="5">
        <f t="shared" ref="E39:E42" si="4">B39*D39</f>
        <v>101790</v>
      </c>
      <c r="F39" s="1">
        <v>124.0</v>
      </c>
      <c r="G39" s="1">
        <v>43900.0</v>
      </c>
      <c r="H39" s="1">
        <v>1780.0</v>
      </c>
      <c r="I39" s="1">
        <f t="shared" ref="I39:I42" si="5">10^9/((1/(4*PI()*10^-7*H39))*(F39*10^-3)/(B39*10^-6))</f>
        <v>6331.626639</v>
      </c>
      <c r="J39" s="1">
        <v>17.2</v>
      </c>
      <c r="K39" s="1">
        <v>6400.0</v>
      </c>
      <c r="L39" s="1">
        <v>496.0</v>
      </c>
      <c r="M39" s="2">
        <v>-0.764</v>
      </c>
      <c r="N39" s="1">
        <v>765.0</v>
      </c>
      <c r="O39" s="1">
        <v>-0.873</v>
      </c>
      <c r="P39" s="1">
        <v>37.0</v>
      </c>
      <c r="Q39" s="1">
        <v>28.95</v>
      </c>
      <c r="R39" s="1">
        <v>32.93</v>
      </c>
      <c r="S39" s="1"/>
      <c r="T39" s="1"/>
    </row>
    <row r="40" ht="14.25" customHeight="1">
      <c r="A40" s="1" t="s">
        <v>55</v>
      </c>
      <c r="B40" s="1">
        <v>420.0</v>
      </c>
      <c r="C40" s="1">
        <v>430.0</v>
      </c>
      <c r="D40" s="1">
        <v>289.0</v>
      </c>
      <c r="E40" s="5">
        <f t="shared" si="4"/>
        <v>121380</v>
      </c>
      <c r="F40" s="1">
        <v>124.0</v>
      </c>
      <c r="G40" s="1">
        <v>52100.0</v>
      </c>
      <c r="H40" s="1">
        <v>1740.0</v>
      </c>
      <c r="I40" s="1">
        <f t="shared" si="5"/>
        <v>7406.051327</v>
      </c>
      <c r="J40" s="1">
        <v>17.2</v>
      </c>
      <c r="K40" s="1">
        <v>7300.0</v>
      </c>
      <c r="L40" s="1">
        <v>596.0</v>
      </c>
      <c r="M40" s="2">
        <v>-0.769</v>
      </c>
      <c r="N40" s="1">
        <v>905.0</v>
      </c>
      <c r="O40" s="1">
        <v>-0.873</v>
      </c>
      <c r="P40" s="1"/>
      <c r="Q40" s="1"/>
      <c r="R40" s="1"/>
      <c r="S40" s="1"/>
      <c r="T40" s="1"/>
    </row>
    <row r="41" ht="14.25" customHeight="1">
      <c r="A41" s="1" t="s">
        <v>56</v>
      </c>
      <c r="B41" s="1">
        <v>529.0</v>
      </c>
      <c r="C41" s="1">
        <v>535.0</v>
      </c>
      <c r="D41" s="1">
        <v>394.0</v>
      </c>
      <c r="E41" s="5">
        <f t="shared" si="4"/>
        <v>208426</v>
      </c>
      <c r="F41" s="1">
        <v>147.0</v>
      </c>
      <c r="G41" s="1">
        <v>78600.0</v>
      </c>
      <c r="H41" s="1">
        <v>1700.0</v>
      </c>
      <c r="I41" s="1">
        <f t="shared" si="5"/>
        <v>7687.712308</v>
      </c>
      <c r="J41" s="1">
        <v>20.0</v>
      </c>
      <c r="K41" s="1">
        <v>7900.0</v>
      </c>
      <c r="L41" s="1">
        <v>716.0</v>
      </c>
      <c r="M41" s="2">
        <v>-0.762</v>
      </c>
      <c r="N41" s="1">
        <v>1131.0</v>
      </c>
      <c r="O41" s="1">
        <v>-0.873</v>
      </c>
      <c r="P41" s="1"/>
      <c r="Q41" s="1"/>
      <c r="R41" s="1"/>
      <c r="S41" s="1"/>
      <c r="T41" s="1"/>
    </row>
    <row r="42" ht="14.25" customHeight="1">
      <c r="A42" s="1" t="s">
        <v>57</v>
      </c>
      <c r="B42" s="1">
        <v>676.0</v>
      </c>
      <c r="C42" s="1">
        <v>704.0</v>
      </c>
      <c r="D42" s="1">
        <v>569.0</v>
      </c>
      <c r="E42" s="5">
        <f t="shared" si="4"/>
        <v>384644</v>
      </c>
      <c r="F42" s="1">
        <v>149.0</v>
      </c>
      <c r="G42" s="1">
        <v>102000.0</v>
      </c>
      <c r="H42" s="1">
        <v>1700.0</v>
      </c>
      <c r="I42" s="1">
        <f t="shared" si="5"/>
        <v>9692.129604</v>
      </c>
      <c r="J42" s="1">
        <v>22.0</v>
      </c>
      <c r="K42" s="1">
        <v>9700.0</v>
      </c>
      <c r="L42" s="1">
        <v>903.0</v>
      </c>
      <c r="M42" s="2">
        <v>-0.789</v>
      </c>
      <c r="N42" s="1">
        <v>1438.0</v>
      </c>
      <c r="O42" s="1">
        <v>-0.873</v>
      </c>
      <c r="P42" s="1">
        <v>40.4</v>
      </c>
      <c r="Q42" s="1"/>
      <c r="R42" s="1"/>
      <c r="S42" s="1"/>
      <c r="T42" s="1"/>
    </row>
    <row r="43" ht="14.25" customHeight="1">
      <c r="E43" s="6"/>
      <c r="M43" s="7"/>
      <c r="Q43" s="8" t="s">
        <v>58</v>
      </c>
      <c r="R43" s="8" t="s">
        <v>59</v>
      </c>
      <c r="S43" s="8" t="s">
        <v>60</v>
      </c>
      <c r="T43" s="8" t="s">
        <v>61</v>
      </c>
      <c r="U43" s="8" t="s">
        <v>62</v>
      </c>
      <c r="V43" s="8" t="s">
        <v>63</v>
      </c>
      <c r="W43" s="8" t="s">
        <v>64</v>
      </c>
      <c r="AB43" s="8" t="s">
        <v>65</v>
      </c>
      <c r="AC43" s="8" t="s">
        <v>66</v>
      </c>
    </row>
    <row r="44" ht="14.25" customHeight="1">
      <c r="O44" s="8">
        <v>6.0</v>
      </c>
      <c r="Q44" s="9">
        <v>1.7</v>
      </c>
      <c r="R44" s="9">
        <f t="shared" ref="R44:R66" si="6">O46*Q44</f>
        <v>11.56</v>
      </c>
      <c r="S44" s="6">
        <v>28.0</v>
      </c>
      <c r="T44" s="6">
        <v>35.0</v>
      </c>
      <c r="U44" s="6">
        <v>4.0</v>
      </c>
      <c r="V44" s="10">
        <f t="shared" ref="V44:V66" si="7">B48*R44/10000</f>
        <v>0.015028</v>
      </c>
      <c r="W44" s="8">
        <v>94.0</v>
      </c>
      <c r="AB44" s="6">
        <v>620.0</v>
      </c>
      <c r="AC44" s="9">
        <v>9.5</v>
      </c>
    </row>
    <row r="45" ht="14.25" customHeight="1">
      <c r="O45" s="8" t="s">
        <v>67</v>
      </c>
      <c r="Q45" s="9">
        <v>3.2</v>
      </c>
      <c r="R45" s="9">
        <f t="shared" si="6"/>
        <v>43.2</v>
      </c>
      <c r="S45" s="6">
        <v>45.0</v>
      </c>
      <c r="T45" s="6">
        <v>60.0</v>
      </c>
      <c r="U45" s="6">
        <v>6.0</v>
      </c>
      <c r="V45" s="10">
        <f t="shared" si="7"/>
        <v>0.138672</v>
      </c>
      <c r="W45" s="8">
        <v>46.0</v>
      </c>
      <c r="AB45" s="6">
        <v>1310.0</v>
      </c>
      <c r="AC45" s="9">
        <v>13.5</v>
      </c>
    </row>
    <row r="46" ht="14.25" customHeight="1">
      <c r="A46" s="8">
        <v>1.0</v>
      </c>
      <c r="B46" s="8">
        <v>3.0</v>
      </c>
      <c r="C46" s="8">
        <v>5.0</v>
      </c>
      <c r="E46" s="8">
        <v>2.0</v>
      </c>
      <c r="F46" s="8">
        <v>4.0</v>
      </c>
      <c r="I46" s="8">
        <v>14.0</v>
      </c>
      <c r="K46" s="8">
        <v>15.0</v>
      </c>
      <c r="L46" s="8">
        <v>16.0</v>
      </c>
      <c r="M46" s="8">
        <v>17.0</v>
      </c>
      <c r="N46" s="8">
        <v>18.0</v>
      </c>
      <c r="O46" s="9">
        <v>6.8</v>
      </c>
      <c r="P46" s="9"/>
      <c r="Q46" s="9">
        <v>3.8</v>
      </c>
      <c r="R46" s="9">
        <f t="shared" si="6"/>
        <v>57.76</v>
      </c>
      <c r="S46" s="6">
        <v>54.0</v>
      </c>
      <c r="T46" s="6">
        <v>70.0</v>
      </c>
      <c r="U46" s="6">
        <v>8.0</v>
      </c>
      <c r="V46" s="10">
        <f t="shared" si="7"/>
        <v>0.31768</v>
      </c>
      <c r="W46" s="8">
        <v>40.0</v>
      </c>
      <c r="AB46" s="6">
        <v>2190.0</v>
      </c>
      <c r="AC46" s="9">
        <v>20.0</v>
      </c>
    </row>
    <row r="47" ht="14.25" customHeight="1">
      <c r="A47" s="8" t="s">
        <v>68</v>
      </c>
      <c r="B47" s="9" t="s">
        <v>69</v>
      </c>
      <c r="C47" s="8" t="s">
        <v>70</v>
      </c>
      <c r="E47" s="9" t="s">
        <v>71</v>
      </c>
      <c r="F47" s="8" t="s">
        <v>72</v>
      </c>
      <c r="I47" s="8" t="s">
        <v>73</v>
      </c>
      <c r="K47" s="8" t="s">
        <v>10</v>
      </c>
      <c r="L47" s="7" t="s">
        <v>11</v>
      </c>
      <c r="M47" s="8" t="s">
        <v>12</v>
      </c>
      <c r="N47" s="8" t="s">
        <v>13</v>
      </c>
      <c r="O47" s="9">
        <v>13.5</v>
      </c>
      <c r="P47" s="9"/>
      <c r="Q47" s="9">
        <v>4.5</v>
      </c>
      <c r="R47" s="9">
        <f t="shared" si="6"/>
        <v>77.4</v>
      </c>
      <c r="S47" s="6">
        <v>57.0</v>
      </c>
      <c r="T47" s="6">
        <v>77.0</v>
      </c>
      <c r="U47" s="6">
        <v>8.0</v>
      </c>
      <c r="V47" s="10">
        <f t="shared" si="7"/>
        <v>0.462078</v>
      </c>
      <c r="W47" s="8">
        <v>23.0</v>
      </c>
      <c r="AB47" s="6">
        <v>2920.0</v>
      </c>
      <c r="AC47" s="9">
        <v>20.0</v>
      </c>
    </row>
    <row r="48" ht="14.25" customHeight="1">
      <c r="A48" s="8" t="s">
        <v>44</v>
      </c>
      <c r="B48" s="9">
        <v>13.0</v>
      </c>
      <c r="C48" s="8">
        <v>53.4</v>
      </c>
      <c r="D48" s="8">
        <f t="shared" ref="D48:D70" si="8">B48*C48</f>
        <v>694.2</v>
      </c>
      <c r="E48" s="9">
        <v>29.6</v>
      </c>
      <c r="F48" s="10">
        <f t="shared" ref="F48:F70" si="9">E48*B48/1000</f>
        <v>0.3848</v>
      </c>
      <c r="G48" s="10"/>
      <c r="H48" s="10"/>
      <c r="I48" s="8">
        <v>850.0</v>
      </c>
      <c r="K48" s="8">
        <v>28.4</v>
      </c>
      <c r="L48" s="7">
        <v>-0.676</v>
      </c>
      <c r="M48" s="8">
        <v>32.1</v>
      </c>
      <c r="N48" s="8">
        <v>-0.873</v>
      </c>
      <c r="O48" s="9">
        <v>15.2</v>
      </c>
      <c r="P48" s="9"/>
      <c r="Q48" s="9">
        <v>5.4</v>
      </c>
      <c r="R48" s="9">
        <f t="shared" si="6"/>
        <v>108.54</v>
      </c>
      <c r="S48" s="6">
        <v>60.0</v>
      </c>
      <c r="T48" s="6">
        <v>70.0</v>
      </c>
      <c r="U48" s="6">
        <v>10.0</v>
      </c>
      <c r="V48" s="10">
        <f t="shared" si="7"/>
        <v>1.052838</v>
      </c>
      <c r="W48" s="6">
        <v>21.0</v>
      </c>
      <c r="AB48" s="6">
        <v>4800.0</v>
      </c>
      <c r="AC48" s="9">
        <v>22.5</v>
      </c>
    </row>
    <row r="49" ht="14.25" customHeight="1">
      <c r="A49" s="8" t="s">
        <v>74</v>
      </c>
      <c r="B49" s="9">
        <v>32.1</v>
      </c>
      <c r="C49" s="8">
        <v>57.4</v>
      </c>
      <c r="D49" s="8">
        <f t="shared" si="8"/>
        <v>1842.54</v>
      </c>
      <c r="E49" s="9">
        <v>46.3</v>
      </c>
      <c r="F49" s="10">
        <f t="shared" si="9"/>
        <v>1.48623</v>
      </c>
      <c r="G49" s="10"/>
      <c r="H49" s="10"/>
      <c r="I49" s="8">
        <v>1470.0</v>
      </c>
      <c r="K49" s="8">
        <v>61.6</v>
      </c>
      <c r="L49" s="7">
        <v>-0.737</v>
      </c>
      <c r="M49" s="8">
        <v>78.4</v>
      </c>
      <c r="N49" s="8">
        <v>-0.873</v>
      </c>
      <c r="O49" s="9">
        <v>17.2</v>
      </c>
      <c r="P49" s="9"/>
      <c r="Q49" s="9">
        <v>5.7</v>
      </c>
      <c r="R49" s="9">
        <f t="shared" si="6"/>
        <v>122.55</v>
      </c>
      <c r="S49" s="6">
        <v>66.0</v>
      </c>
      <c r="T49" s="6">
        <v>86.0</v>
      </c>
      <c r="U49" s="6">
        <v>12.0</v>
      </c>
      <c r="V49" s="10">
        <f t="shared" si="7"/>
        <v>1.4706</v>
      </c>
      <c r="W49" s="8">
        <v>18.0</v>
      </c>
      <c r="AB49" s="6">
        <v>5190.0</v>
      </c>
      <c r="AC49" s="9">
        <v>32.0</v>
      </c>
    </row>
    <row r="50" ht="14.25" customHeight="1">
      <c r="A50" s="8" t="s">
        <v>47</v>
      </c>
      <c r="B50" s="9">
        <v>55.0</v>
      </c>
      <c r="C50" s="8">
        <v>95.3</v>
      </c>
      <c r="D50" s="8">
        <f t="shared" si="8"/>
        <v>5241.5</v>
      </c>
      <c r="E50" s="9">
        <v>57.5</v>
      </c>
      <c r="F50" s="10">
        <f t="shared" si="9"/>
        <v>3.1625</v>
      </c>
      <c r="G50" s="10"/>
      <c r="H50" s="10"/>
      <c r="I50" s="8">
        <v>1850.0</v>
      </c>
      <c r="K50" s="8">
        <v>90.0</v>
      </c>
      <c r="L50" s="7">
        <v>-0.731</v>
      </c>
      <c r="M50" s="8">
        <v>125.0</v>
      </c>
      <c r="N50" s="8">
        <v>-0.873</v>
      </c>
      <c r="O50" s="9">
        <v>20.1</v>
      </c>
      <c r="P50" s="9"/>
      <c r="Q50" s="9">
        <v>6.7</v>
      </c>
      <c r="R50" s="9">
        <f t="shared" si="6"/>
        <v>174.2</v>
      </c>
      <c r="S50" s="6">
        <v>94.0</v>
      </c>
      <c r="T50" s="6">
        <v>122.0</v>
      </c>
      <c r="U50" s="6">
        <v>16.0</v>
      </c>
      <c r="V50" s="10">
        <f t="shared" si="7"/>
        <v>3.17044</v>
      </c>
      <c r="W50" s="8">
        <v>19.0</v>
      </c>
      <c r="AB50" s="6">
        <v>7455.0</v>
      </c>
      <c r="AC50" s="9">
        <v>34.0</v>
      </c>
    </row>
    <row r="51" ht="15.0" customHeight="1">
      <c r="A51" s="8" t="s">
        <v>48</v>
      </c>
      <c r="B51" s="9">
        <v>59.7</v>
      </c>
      <c r="C51" s="8">
        <v>129.0</v>
      </c>
      <c r="D51" s="8">
        <f t="shared" si="8"/>
        <v>7701.3</v>
      </c>
      <c r="E51" s="9">
        <v>66.9</v>
      </c>
      <c r="F51" s="10">
        <f t="shared" si="9"/>
        <v>3.99393</v>
      </c>
      <c r="G51" s="10"/>
      <c r="H51" s="10"/>
      <c r="I51" s="8">
        <v>1900.0</v>
      </c>
      <c r="K51" s="8">
        <v>90.0</v>
      </c>
      <c r="L51" s="7">
        <v>-0.708</v>
      </c>
      <c r="M51" s="8">
        <v>140.0</v>
      </c>
      <c r="N51" s="8">
        <v>-0.873</v>
      </c>
      <c r="O51" s="9">
        <v>21.5</v>
      </c>
      <c r="P51" s="9"/>
      <c r="Q51" s="9">
        <v>6.7</v>
      </c>
      <c r="R51" s="9">
        <f t="shared" si="6"/>
        <v>174.2</v>
      </c>
      <c r="S51" s="6">
        <v>104.0</v>
      </c>
      <c r="T51" s="6">
        <v>133.0</v>
      </c>
      <c r="U51" s="6">
        <v>20.0</v>
      </c>
      <c r="V51" s="10">
        <f t="shared" si="7"/>
        <v>4.11112</v>
      </c>
      <c r="W51" s="8">
        <v>15.0</v>
      </c>
      <c r="AB51" s="6">
        <v>8220.0</v>
      </c>
      <c r="AC51" s="9">
        <v>40.0</v>
      </c>
    </row>
    <row r="52" ht="15.0" customHeight="1">
      <c r="A52" s="8" t="s">
        <v>50</v>
      </c>
      <c r="B52" s="9">
        <v>97.0</v>
      </c>
      <c r="C52" s="8">
        <v>148.0</v>
      </c>
      <c r="D52" s="8">
        <f t="shared" si="8"/>
        <v>14356</v>
      </c>
      <c r="E52" s="9">
        <v>74.0</v>
      </c>
      <c r="F52" s="10">
        <f t="shared" si="9"/>
        <v>7.178</v>
      </c>
      <c r="G52" s="10"/>
      <c r="H52" s="10"/>
      <c r="I52" s="6">
        <v>2900.0</v>
      </c>
      <c r="J52" s="6"/>
      <c r="K52" s="6">
        <v>165.0</v>
      </c>
      <c r="L52" s="7">
        <v>-0.711</v>
      </c>
      <c r="M52" s="6">
        <v>223.0</v>
      </c>
      <c r="N52" s="8">
        <v>-0.873</v>
      </c>
      <c r="O52" s="9">
        <v>26.0</v>
      </c>
      <c r="P52" s="9"/>
      <c r="Q52" s="9">
        <v>8.2</v>
      </c>
      <c r="R52" s="9">
        <f t="shared" si="6"/>
        <v>272.24</v>
      </c>
      <c r="S52" s="6">
        <v>122.0</v>
      </c>
      <c r="T52" s="6">
        <v>155.0</v>
      </c>
      <c r="U52" s="6">
        <v>21.0</v>
      </c>
      <c r="V52" s="10">
        <f t="shared" si="7"/>
        <v>9.637296</v>
      </c>
      <c r="W52" s="8">
        <v>11.0</v>
      </c>
      <c r="AB52" s="6">
        <v>12900.0</v>
      </c>
      <c r="AC52" s="9">
        <v>43.5</v>
      </c>
    </row>
    <row r="53" ht="15.0" customHeight="1">
      <c r="A53" s="8" t="s">
        <v>51</v>
      </c>
      <c r="B53" s="9">
        <v>120.0</v>
      </c>
      <c r="C53" s="8">
        <v>170.0</v>
      </c>
      <c r="D53" s="8">
        <f t="shared" si="8"/>
        <v>20400</v>
      </c>
      <c r="E53" s="9">
        <v>81.0</v>
      </c>
      <c r="F53" s="10">
        <f t="shared" si="9"/>
        <v>9.72</v>
      </c>
      <c r="G53" s="10"/>
      <c r="H53" s="10"/>
      <c r="I53" s="8">
        <v>3100.0</v>
      </c>
      <c r="K53" s="8">
        <v>182.0</v>
      </c>
      <c r="L53" s="7">
        <v>-0.749</v>
      </c>
      <c r="M53" s="8">
        <v>273.0</v>
      </c>
      <c r="N53" s="8">
        <v>-0.873</v>
      </c>
      <c r="O53" s="9">
        <v>26.0</v>
      </c>
      <c r="P53" s="9"/>
      <c r="Q53" s="9">
        <v>8.2</v>
      </c>
      <c r="R53" s="9">
        <f t="shared" si="6"/>
        <v>272.24</v>
      </c>
      <c r="S53" s="6">
        <v>130.0</v>
      </c>
      <c r="T53" s="6">
        <v>163.0</v>
      </c>
      <c r="U53" s="6">
        <v>25.0</v>
      </c>
      <c r="V53" s="10">
        <f t="shared" si="7"/>
        <v>11.43408</v>
      </c>
      <c r="W53" s="8">
        <v>8.0</v>
      </c>
      <c r="AB53" s="6">
        <v>14200.0</v>
      </c>
      <c r="AC53" s="9">
        <v>50.0</v>
      </c>
    </row>
    <row r="54" ht="15.0" customHeight="1">
      <c r="A54" s="8" t="s">
        <v>52</v>
      </c>
      <c r="B54" s="9">
        <v>182.0</v>
      </c>
      <c r="C54" s="8">
        <v>275.0</v>
      </c>
      <c r="D54" s="8">
        <f t="shared" si="8"/>
        <v>50050</v>
      </c>
      <c r="E54" s="9">
        <v>97.0</v>
      </c>
      <c r="F54" s="10">
        <f t="shared" si="9"/>
        <v>17.654</v>
      </c>
      <c r="G54" s="10"/>
      <c r="H54" s="10"/>
      <c r="I54" s="8">
        <v>3950.0</v>
      </c>
      <c r="K54" s="8">
        <v>272.0</v>
      </c>
      <c r="L54" s="7">
        <v>-0.741</v>
      </c>
      <c r="M54" s="8">
        <v>396.0</v>
      </c>
      <c r="N54" s="8">
        <v>-0.873</v>
      </c>
      <c r="O54" s="9">
        <v>33.2</v>
      </c>
      <c r="P54" s="9"/>
      <c r="Q54" s="9">
        <v>10.5</v>
      </c>
      <c r="R54" s="9">
        <f t="shared" si="6"/>
        <v>417.9</v>
      </c>
      <c r="S54" s="6">
        <v>149.0</v>
      </c>
      <c r="T54" s="6">
        <v>191.0</v>
      </c>
      <c r="U54" s="6">
        <v>28.0</v>
      </c>
      <c r="V54" s="10">
        <f t="shared" si="7"/>
        <v>22.9845</v>
      </c>
      <c r="W54" s="8">
        <v>6.5</v>
      </c>
      <c r="AB54" s="6">
        <v>23800.0</v>
      </c>
      <c r="AC54" s="9">
        <v>53.0</v>
      </c>
    </row>
    <row r="55" ht="15.0" customHeight="1">
      <c r="A55" s="8" t="s">
        <v>53</v>
      </c>
      <c r="B55" s="9">
        <v>236.0</v>
      </c>
      <c r="C55" s="8">
        <v>275.0</v>
      </c>
      <c r="D55" s="8">
        <f t="shared" si="8"/>
        <v>64900</v>
      </c>
      <c r="E55" s="9">
        <v>97.0</v>
      </c>
      <c r="F55" s="10">
        <f t="shared" si="9"/>
        <v>22.892</v>
      </c>
      <c r="G55" s="10"/>
      <c r="H55" s="10"/>
      <c r="I55" s="8">
        <v>5200.0</v>
      </c>
      <c r="K55" s="8">
        <v>354.0</v>
      </c>
      <c r="L55" s="7">
        <v>-0.77</v>
      </c>
      <c r="M55" s="8">
        <v>521.0</v>
      </c>
      <c r="N55" s="8">
        <v>-0.873</v>
      </c>
      <c r="O55" s="9">
        <v>33.2</v>
      </c>
      <c r="P55" s="9"/>
      <c r="Q55" s="9">
        <v>11.0</v>
      </c>
      <c r="R55" s="9">
        <f t="shared" si="6"/>
        <v>448.8</v>
      </c>
      <c r="S55" s="6">
        <v>155.0</v>
      </c>
      <c r="T55" s="6">
        <v>200.0</v>
      </c>
      <c r="U55" s="6">
        <v>32.0</v>
      </c>
      <c r="V55" s="10">
        <f t="shared" si="7"/>
        <v>30.65304</v>
      </c>
      <c r="W55" s="8">
        <v>5.5</v>
      </c>
      <c r="AB55" s="6">
        <v>32500.0</v>
      </c>
      <c r="AC55" s="9">
        <v>59.0</v>
      </c>
    </row>
    <row r="56" ht="15.0" customHeight="1">
      <c r="A56" s="11" t="s">
        <v>54</v>
      </c>
      <c r="B56" s="9">
        <v>354.0</v>
      </c>
      <c r="C56" s="8">
        <v>395.0</v>
      </c>
      <c r="D56" s="8">
        <f t="shared" si="8"/>
        <v>139830</v>
      </c>
      <c r="E56" s="9">
        <v>123.0</v>
      </c>
      <c r="F56" s="10">
        <f t="shared" si="9"/>
        <v>43.542</v>
      </c>
      <c r="G56" s="10"/>
      <c r="H56" s="10"/>
      <c r="I56" s="8">
        <v>6400.0</v>
      </c>
      <c r="K56" s="8">
        <v>496.0</v>
      </c>
      <c r="L56" s="7">
        <v>-0.764</v>
      </c>
      <c r="M56" s="8">
        <v>765.0</v>
      </c>
      <c r="N56" s="8">
        <v>-0.873</v>
      </c>
      <c r="O56" s="9">
        <v>39.8</v>
      </c>
      <c r="P56" s="9"/>
      <c r="Q56" s="9">
        <f>(10.55-6.65)/2</f>
        <v>1.95</v>
      </c>
      <c r="R56" s="9">
        <f t="shared" si="6"/>
        <v>17.8425</v>
      </c>
      <c r="S56" s="6">
        <v>26.0</v>
      </c>
      <c r="T56" s="6">
        <v>30.0</v>
      </c>
      <c r="U56" s="6" t="s">
        <v>75</v>
      </c>
      <c r="V56" s="10">
        <f t="shared" si="7"/>
        <v>0.02676375</v>
      </c>
      <c r="W56" s="8">
        <v>75.0</v>
      </c>
      <c r="AB56" s="6">
        <v>589.5</v>
      </c>
      <c r="AC56" s="9">
        <v>8.3</v>
      </c>
    </row>
    <row r="57" ht="15.0" customHeight="1">
      <c r="A57" s="8" t="s">
        <v>55</v>
      </c>
      <c r="B57" s="9">
        <v>420.0</v>
      </c>
      <c r="C57" s="8">
        <v>395.0</v>
      </c>
      <c r="D57" s="8">
        <f t="shared" si="8"/>
        <v>165900</v>
      </c>
      <c r="E57" s="9">
        <v>123.0</v>
      </c>
      <c r="F57" s="10">
        <f t="shared" si="9"/>
        <v>51.66</v>
      </c>
      <c r="G57" s="10"/>
      <c r="H57" s="10"/>
      <c r="I57" s="8">
        <v>7300.0</v>
      </c>
      <c r="K57" s="8">
        <v>596.0</v>
      </c>
      <c r="L57" s="7">
        <v>-0.769</v>
      </c>
      <c r="M57" s="8">
        <v>905.0</v>
      </c>
      <c r="N57" s="8">
        <v>-0.873</v>
      </c>
      <c r="O57" s="9">
        <v>40.8</v>
      </c>
      <c r="P57" s="9"/>
      <c r="Q57" s="9">
        <f>(14.8-10.3)/2</f>
        <v>2.25</v>
      </c>
      <c r="R57" s="9">
        <f t="shared" si="6"/>
        <v>30.375</v>
      </c>
      <c r="S57" s="6">
        <v>33.0</v>
      </c>
      <c r="T57" s="6">
        <v>38.0</v>
      </c>
      <c r="U57" s="6" t="s">
        <v>75</v>
      </c>
      <c r="V57" s="10">
        <f t="shared" si="7"/>
        <v>0.0941625</v>
      </c>
      <c r="W57" s="8">
        <v>45.0</v>
      </c>
      <c r="AB57" s="6">
        <v>1066.0</v>
      </c>
      <c r="AC57" s="9">
        <v>10.0</v>
      </c>
    </row>
    <row r="58" ht="15.0" customHeight="1">
      <c r="A58" s="8" t="s">
        <v>56</v>
      </c>
      <c r="B58" s="9">
        <v>550.0</v>
      </c>
      <c r="C58" s="8">
        <v>537.0</v>
      </c>
      <c r="D58" s="8">
        <f t="shared" si="8"/>
        <v>295350</v>
      </c>
      <c r="E58" s="9">
        <v>146.0</v>
      </c>
      <c r="F58" s="10">
        <f t="shared" si="9"/>
        <v>80.3</v>
      </c>
      <c r="G58" s="10"/>
      <c r="H58" s="10"/>
      <c r="I58" s="8">
        <v>7900.0</v>
      </c>
      <c r="K58" s="8">
        <v>716.0</v>
      </c>
      <c r="L58" s="7">
        <v>-0.762</v>
      </c>
      <c r="M58" s="8">
        <v>1131.0</v>
      </c>
      <c r="N58" s="8">
        <v>-0.873</v>
      </c>
      <c r="O58" s="9">
        <v>9.15</v>
      </c>
      <c r="P58" s="9"/>
      <c r="Q58" s="9">
        <f>(18-13.1)/2</f>
        <v>2.45</v>
      </c>
      <c r="R58" s="9">
        <f t="shared" si="6"/>
        <v>40.18</v>
      </c>
      <c r="S58" s="6">
        <v>41.0</v>
      </c>
      <c r="T58" s="6">
        <v>47.0</v>
      </c>
      <c r="U58" s="6" t="s">
        <v>75</v>
      </c>
      <c r="V58" s="10">
        <f t="shared" si="7"/>
        <v>0.233044</v>
      </c>
      <c r="W58" s="8">
        <v>30.0</v>
      </c>
      <c r="AB58" s="6">
        <v>1705.0</v>
      </c>
      <c r="AC58" s="9">
        <v>12.6</v>
      </c>
    </row>
    <row r="59" ht="15.0" customHeight="1">
      <c r="A59" s="8" t="s">
        <v>57</v>
      </c>
      <c r="B59" s="9">
        <v>683.0</v>
      </c>
      <c r="C59" s="8">
        <v>572.0</v>
      </c>
      <c r="D59" s="8">
        <f t="shared" si="8"/>
        <v>390676</v>
      </c>
      <c r="E59" s="9">
        <v>149.0</v>
      </c>
      <c r="F59" s="10">
        <f t="shared" si="9"/>
        <v>101.767</v>
      </c>
      <c r="G59" s="10"/>
      <c r="H59" s="10"/>
      <c r="I59" s="8">
        <v>9700.0</v>
      </c>
      <c r="K59" s="8">
        <v>903.0</v>
      </c>
      <c r="L59" s="7">
        <v>-0.789</v>
      </c>
      <c r="M59" s="8">
        <v>1438.0</v>
      </c>
      <c r="N59" s="8">
        <v>-0.873</v>
      </c>
      <c r="O59" s="9">
        <v>13.5</v>
      </c>
      <c r="P59" s="9"/>
      <c r="Q59" s="9">
        <f>(21.5-16.4)/2</f>
        <v>2.55</v>
      </c>
      <c r="R59" s="9">
        <f t="shared" si="6"/>
        <v>51.255</v>
      </c>
      <c r="S59" s="6">
        <v>48.0</v>
      </c>
      <c r="T59" s="6">
        <v>55.0</v>
      </c>
      <c r="U59" s="6" t="s">
        <v>75</v>
      </c>
      <c r="V59" s="10">
        <f t="shared" si="7"/>
        <v>0.3536595</v>
      </c>
      <c r="W59" s="8">
        <v>25.0</v>
      </c>
      <c r="AB59" s="6">
        <v>2346.0</v>
      </c>
      <c r="AC59" s="9">
        <v>12.6</v>
      </c>
    </row>
    <row r="60" ht="15.0" customHeight="1">
      <c r="A60" s="8" t="s">
        <v>76</v>
      </c>
      <c r="B60" s="9">
        <v>15.0</v>
      </c>
      <c r="C60" s="8">
        <v>31.0</v>
      </c>
      <c r="D60" s="8">
        <f t="shared" si="8"/>
        <v>465</v>
      </c>
      <c r="E60" s="9">
        <v>34.0</v>
      </c>
      <c r="F60" s="10">
        <f t="shared" si="9"/>
        <v>0.51</v>
      </c>
      <c r="G60" s="10"/>
      <c r="H60" s="10"/>
      <c r="I60" s="6">
        <v>780.0</v>
      </c>
      <c r="J60" s="6"/>
      <c r="K60" s="6">
        <v>29.7</v>
      </c>
      <c r="L60" s="7">
        <v>-0.676</v>
      </c>
      <c r="M60" s="6">
        <v>33.2</v>
      </c>
      <c r="N60" s="8">
        <v>-0.873</v>
      </c>
      <c r="O60" s="9">
        <v>16.4</v>
      </c>
      <c r="P60" s="9"/>
      <c r="Q60" s="9">
        <v>4.9</v>
      </c>
      <c r="R60" s="9">
        <f t="shared" si="6"/>
        <v>93.1</v>
      </c>
      <c r="S60" s="6">
        <v>53.0</v>
      </c>
      <c r="T60" s="6">
        <v>61.0</v>
      </c>
      <c r="U60" s="6" t="s">
        <v>75</v>
      </c>
      <c r="V60" s="10">
        <f t="shared" si="7"/>
        <v>0.70756</v>
      </c>
      <c r="W60" s="8">
        <v>28.0</v>
      </c>
      <c r="AB60" s="6">
        <v>2870.0</v>
      </c>
      <c r="AC60" s="9">
        <v>28.0</v>
      </c>
    </row>
    <row r="61" ht="15.0" customHeight="1">
      <c r="A61" s="8" t="s">
        <v>77</v>
      </c>
      <c r="B61" s="9">
        <v>31.0</v>
      </c>
      <c r="C61" s="8">
        <v>50.0</v>
      </c>
      <c r="D61" s="8">
        <f t="shared" si="8"/>
        <v>1550</v>
      </c>
      <c r="E61" s="9">
        <v>47.0</v>
      </c>
      <c r="F61" s="10">
        <f t="shared" si="9"/>
        <v>1.457</v>
      </c>
      <c r="G61" s="10"/>
      <c r="H61" s="10"/>
      <c r="I61" s="6">
        <v>1200.0</v>
      </c>
      <c r="J61" s="6"/>
      <c r="K61" s="6">
        <v>61.1</v>
      </c>
      <c r="L61" s="7">
        <v>-0.699</v>
      </c>
      <c r="M61" s="6">
        <v>75.7</v>
      </c>
      <c r="N61" s="8">
        <v>-0.873</v>
      </c>
      <c r="O61" s="9">
        <v>20.1</v>
      </c>
      <c r="P61" s="9"/>
      <c r="Q61" s="9">
        <v>5.8</v>
      </c>
      <c r="R61" s="9">
        <f t="shared" si="6"/>
        <v>121.8</v>
      </c>
      <c r="S61" s="6">
        <v>61.0</v>
      </c>
      <c r="T61" s="6">
        <v>70.0</v>
      </c>
      <c r="U61" s="6" t="s">
        <v>75</v>
      </c>
      <c r="V61" s="10">
        <f t="shared" si="7"/>
        <v>1.188768</v>
      </c>
      <c r="W61" s="8">
        <v>20.0</v>
      </c>
      <c r="AB61" s="6">
        <v>3690.0</v>
      </c>
      <c r="AC61" s="9">
        <v>35.0</v>
      </c>
    </row>
    <row r="62" ht="15.0" customHeight="1">
      <c r="A62" s="8" t="s">
        <v>78</v>
      </c>
      <c r="B62" s="9">
        <v>58.0</v>
      </c>
      <c r="C62" s="8">
        <v>68.0</v>
      </c>
      <c r="D62" s="8">
        <f t="shared" si="8"/>
        <v>3944</v>
      </c>
      <c r="E62" s="9">
        <v>57.0</v>
      </c>
      <c r="F62" s="10">
        <f t="shared" si="9"/>
        <v>3.306</v>
      </c>
      <c r="G62" s="10"/>
      <c r="H62" s="10"/>
      <c r="I62" s="6">
        <v>2000.0</v>
      </c>
      <c r="J62" s="6"/>
      <c r="K62" s="6">
        <v>103.0</v>
      </c>
      <c r="L62" s="7">
        <v>-0.734</v>
      </c>
      <c r="M62" s="6">
        <v>138.0</v>
      </c>
      <c r="N62" s="8">
        <v>-0.873</v>
      </c>
      <c r="O62" s="9">
        <v>19.0</v>
      </c>
      <c r="P62" s="9"/>
      <c r="Q62" s="9">
        <v>6.9</v>
      </c>
      <c r="R62" s="9">
        <f t="shared" si="6"/>
        <v>178.02</v>
      </c>
      <c r="S62" s="6">
        <v>70.0</v>
      </c>
      <c r="T62" s="6">
        <v>80.0</v>
      </c>
      <c r="U62" s="6" t="s">
        <v>75</v>
      </c>
      <c r="V62" s="10">
        <f t="shared" si="7"/>
        <v>2.22525</v>
      </c>
      <c r="W62" s="8">
        <v>16.0</v>
      </c>
      <c r="AB62" s="6">
        <v>4920.0</v>
      </c>
      <c r="AC62" s="9">
        <v>38.0</v>
      </c>
    </row>
    <row r="63" ht="15.0" customHeight="1">
      <c r="A63" s="8" t="s">
        <v>79</v>
      </c>
      <c r="B63" s="9">
        <v>69.0</v>
      </c>
      <c r="C63" s="8">
        <v>87.0</v>
      </c>
      <c r="D63" s="8">
        <f t="shared" si="8"/>
        <v>6003</v>
      </c>
      <c r="E63" s="9">
        <v>68.0</v>
      </c>
      <c r="F63" s="10">
        <f t="shared" si="9"/>
        <v>4.692</v>
      </c>
      <c r="G63" s="10"/>
      <c r="H63" s="10"/>
      <c r="I63" s="6">
        <v>2050.0</v>
      </c>
      <c r="J63" s="6"/>
      <c r="K63" s="6">
        <v>125.0</v>
      </c>
      <c r="L63" s="7">
        <v>-0.712</v>
      </c>
      <c r="M63" s="6">
        <v>161.0</v>
      </c>
      <c r="N63" s="8">
        <v>-0.873</v>
      </c>
      <c r="O63" s="9">
        <v>21.0</v>
      </c>
      <c r="P63" s="9"/>
      <c r="Q63" s="9">
        <v>7.1</v>
      </c>
      <c r="R63" s="9">
        <f t="shared" si="6"/>
        <v>210.16</v>
      </c>
      <c r="S63" s="6">
        <v>78.0</v>
      </c>
      <c r="T63" s="6">
        <v>90.0</v>
      </c>
      <c r="U63" s="6" t="s">
        <v>75</v>
      </c>
      <c r="V63" s="10">
        <f t="shared" si="7"/>
        <v>3.635768</v>
      </c>
      <c r="W63" s="8">
        <v>11.0</v>
      </c>
      <c r="AB63" s="6">
        <v>6400.0</v>
      </c>
      <c r="AC63" s="9">
        <v>40.5</v>
      </c>
    </row>
    <row r="64" ht="15.0" customHeight="1">
      <c r="A64" s="8" t="s">
        <v>80</v>
      </c>
      <c r="B64" s="9">
        <v>76.0</v>
      </c>
      <c r="C64" s="8">
        <v>147.0</v>
      </c>
      <c r="D64" s="8">
        <f t="shared" si="8"/>
        <v>11172</v>
      </c>
      <c r="E64" s="9">
        <v>72.0</v>
      </c>
      <c r="F64" s="10">
        <f t="shared" si="9"/>
        <v>5.472</v>
      </c>
      <c r="G64" s="10"/>
      <c r="H64" s="10"/>
      <c r="I64" s="8">
        <v>2200.0</v>
      </c>
      <c r="K64" s="8">
        <v>124.0</v>
      </c>
      <c r="L64" s="7">
        <v>-0.7</v>
      </c>
      <c r="M64" s="8">
        <v>176.0</v>
      </c>
      <c r="N64" s="8">
        <v>-0.873</v>
      </c>
      <c r="O64" s="9">
        <v>25.8</v>
      </c>
      <c r="P64" s="9"/>
      <c r="Q64" s="9">
        <v>8.25</v>
      </c>
      <c r="R64" s="9">
        <f t="shared" si="6"/>
        <v>269.775</v>
      </c>
      <c r="S64" s="6">
        <v>87.0</v>
      </c>
      <c r="T64" s="6">
        <v>100.0</v>
      </c>
      <c r="U64" s="6" t="s">
        <v>75</v>
      </c>
      <c r="V64" s="10">
        <f t="shared" si="7"/>
        <v>5.6922525</v>
      </c>
      <c r="W64" s="8">
        <v>8.0</v>
      </c>
      <c r="AB64" s="6">
        <v>7790.0</v>
      </c>
      <c r="AC64" s="9">
        <v>43.0</v>
      </c>
    </row>
    <row r="65" ht="14.25" customHeight="1">
      <c r="A65" s="8" t="s">
        <v>81</v>
      </c>
      <c r="B65" s="9">
        <v>97.6</v>
      </c>
      <c r="C65" s="8">
        <v>188.0</v>
      </c>
      <c r="D65" s="8">
        <f t="shared" si="8"/>
        <v>18348.8</v>
      </c>
      <c r="E65" s="9">
        <v>78.6</v>
      </c>
      <c r="F65" s="10">
        <f t="shared" si="9"/>
        <v>7.67136</v>
      </c>
      <c r="G65" s="10"/>
      <c r="H65" s="10"/>
      <c r="I65" s="8">
        <v>2600.0</v>
      </c>
      <c r="K65" s="8">
        <v>154.0</v>
      </c>
      <c r="L65" s="7">
        <v>-0.713</v>
      </c>
      <c r="M65" s="8">
        <v>222.0</v>
      </c>
      <c r="N65" s="8">
        <v>-0.873</v>
      </c>
      <c r="O65" s="9">
        <v>29.6</v>
      </c>
      <c r="P65" s="9"/>
      <c r="Q65" s="9">
        <v>8.6</v>
      </c>
      <c r="R65" s="9">
        <f t="shared" si="6"/>
        <v>316.48</v>
      </c>
      <c r="S65" s="6">
        <v>97.0</v>
      </c>
      <c r="T65" s="6">
        <v>110.0</v>
      </c>
      <c r="U65" s="6" t="s">
        <v>75</v>
      </c>
      <c r="V65" s="10">
        <f t="shared" si="7"/>
        <v>8.86144</v>
      </c>
      <c r="W65" s="8">
        <v>6.0</v>
      </c>
      <c r="AB65" s="6">
        <v>10179.0</v>
      </c>
      <c r="AC65" s="9">
        <v>46.8</v>
      </c>
    </row>
    <row r="66" ht="14.25" customHeight="1">
      <c r="A66" s="8" t="s">
        <v>82</v>
      </c>
      <c r="B66" s="9">
        <v>125.0</v>
      </c>
      <c r="C66" s="8">
        <v>257.0</v>
      </c>
      <c r="D66" s="8">
        <f t="shared" si="8"/>
        <v>32125</v>
      </c>
      <c r="E66" s="9">
        <v>92.2</v>
      </c>
      <c r="F66" s="10">
        <f t="shared" si="9"/>
        <v>11.525</v>
      </c>
      <c r="G66" s="10"/>
      <c r="H66" s="10"/>
      <c r="I66" s="8">
        <v>2700.0</v>
      </c>
      <c r="K66" s="8">
        <v>196.0</v>
      </c>
      <c r="L66" s="7">
        <v>-0.734</v>
      </c>
      <c r="M66" s="8">
        <v>280.0</v>
      </c>
      <c r="N66" s="8">
        <v>-0.873</v>
      </c>
      <c r="O66" s="9">
        <v>32.7</v>
      </c>
      <c r="P66" s="9"/>
      <c r="Q66" s="9">
        <v>8.9</v>
      </c>
      <c r="R66" s="9">
        <f t="shared" si="6"/>
        <v>366.68</v>
      </c>
      <c r="S66" s="6">
        <v>107.0</v>
      </c>
      <c r="T66" s="6">
        <v>121.0</v>
      </c>
      <c r="U66" s="6" t="s">
        <v>75</v>
      </c>
      <c r="V66" s="10">
        <f t="shared" si="7"/>
        <v>13.493824</v>
      </c>
      <c r="W66" s="8">
        <v>4.0</v>
      </c>
      <c r="AB66" s="6">
        <v>13223.0</v>
      </c>
      <c r="AC66" s="9">
        <v>50.1</v>
      </c>
    </row>
    <row r="67" ht="14.25" customHeight="1">
      <c r="A67" s="8" t="s">
        <v>83</v>
      </c>
      <c r="B67" s="9">
        <v>173.0</v>
      </c>
      <c r="C67" s="8">
        <v>302.0</v>
      </c>
      <c r="D67" s="8">
        <f t="shared" si="8"/>
        <v>52246</v>
      </c>
      <c r="E67" s="9">
        <v>103.0</v>
      </c>
      <c r="F67" s="10">
        <f t="shared" si="9"/>
        <v>17.819</v>
      </c>
      <c r="G67" s="10"/>
      <c r="H67" s="10"/>
      <c r="I67" s="8">
        <v>3500.0</v>
      </c>
      <c r="K67" s="8">
        <v>262.0</v>
      </c>
      <c r="L67" s="7">
        <v>-0.74</v>
      </c>
      <c r="M67" s="8">
        <v>382.0</v>
      </c>
      <c r="N67" s="8">
        <v>-0.873</v>
      </c>
      <c r="O67" s="9">
        <v>36.8</v>
      </c>
      <c r="P67" s="9"/>
    </row>
    <row r="68" ht="14.25" customHeight="1">
      <c r="A68" s="8" t="s">
        <v>84</v>
      </c>
      <c r="B68" s="9">
        <v>211.0</v>
      </c>
      <c r="C68" s="8">
        <v>373.0</v>
      </c>
      <c r="D68" s="8">
        <f t="shared" si="8"/>
        <v>78703</v>
      </c>
      <c r="E68" s="9">
        <v>114.0</v>
      </c>
      <c r="F68" s="10">
        <f t="shared" si="9"/>
        <v>24.054</v>
      </c>
      <c r="G68" s="10"/>
      <c r="H68" s="10"/>
      <c r="I68" s="8">
        <v>3800.0</v>
      </c>
      <c r="K68" s="8">
        <v>314.0</v>
      </c>
      <c r="L68" s="7">
        <v>-0.741</v>
      </c>
      <c r="M68" s="8">
        <v>460.0</v>
      </c>
      <c r="N68" s="8">
        <v>-0.873</v>
      </c>
      <c r="O68" s="9">
        <v>41.2</v>
      </c>
      <c r="P68" s="9"/>
    </row>
    <row r="69" ht="14.25" customHeight="1">
      <c r="A69" s="8" t="s">
        <v>85</v>
      </c>
      <c r="B69" s="9">
        <v>280.0</v>
      </c>
      <c r="C69" s="8">
        <v>441.0</v>
      </c>
      <c r="D69" s="8">
        <f t="shared" si="8"/>
        <v>123480</v>
      </c>
      <c r="E69" s="9">
        <v>127.0</v>
      </c>
      <c r="F69" s="10">
        <f t="shared" si="9"/>
        <v>35.56</v>
      </c>
      <c r="G69" s="10"/>
      <c r="H69" s="10"/>
      <c r="I69" s="8">
        <v>4450.0</v>
      </c>
      <c r="K69" s="8">
        <v>393.0</v>
      </c>
      <c r="L69" s="7">
        <v>-0.779</v>
      </c>
      <c r="M69" s="8">
        <v>603.0</v>
      </c>
      <c r="N69" s="8">
        <v>-0.873</v>
      </c>
    </row>
    <row r="70" ht="14.25" customHeight="1">
      <c r="A70" s="8" t="s">
        <v>86</v>
      </c>
      <c r="B70" s="9">
        <v>368.0</v>
      </c>
      <c r="C70" s="8">
        <v>497.0</v>
      </c>
      <c r="D70" s="8">
        <f t="shared" si="8"/>
        <v>182896</v>
      </c>
      <c r="E70" s="9">
        <v>139.0</v>
      </c>
      <c r="F70" s="10">
        <f t="shared" si="9"/>
        <v>51.152</v>
      </c>
      <c r="G70" s="10"/>
      <c r="H70" s="10"/>
      <c r="I70" s="8">
        <v>5300.0</v>
      </c>
      <c r="K70" s="8">
        <v>508.0</v>
      </c>
      <c r="L70" s="7">
        <v>-0.708</v>
      </c>
      <c r="M70" s="8">
        <v>783.0</v>
      </c>
      <c r="N70" s="8">
        <v>-0.873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>
      <c r="A91" s="1" t="s">
        <v>87</v>
      </c>
      <c r="B91" s="1" t="s">
        <v>88</v>
      </c>
      <c r="C91" s="1" t="s">
        <v>89</v>
      </c>
      <c r="D91" s="1"/>
      <c r="E91" s="1"/>
      <c r="F91" s="1"/>
      <c r="G91" s="1"/>
      <c r="H91" s="1"/>
      <c r="I91" s="1"/>
      <c r="J91" s="1"/>
      <c r="K91" s="1"/>
      <c r="L91" s="1"/>
    </row>
    <row r="92" ht="14.25" customHeight="1">
      <c r="A92" s="1" t="s">
        <v>90</v>
      </c>
      <c r="B92" s="1" t="s">
        <v>91</v>
      </c>
      <c r="C92" s="1" t="s">
        <v>92</v>
      </c>
      <c r="D92" s="1" t="s">
        <v>93</v>
      </c>
      <c r="E92" s="1"/>
      <c r="F92" s="1"/>
      <c r="G92" s="1"/>
      <c r="H92" s="1"/>
      <c r="I92" s="1"/>
      <c r="J92" s="1"/>
      <c r="K92" s="1"/>
      <c r="L92" s="1"/>
    </row>
    <row r="93" ht="14.25" customHeight="1">
      <c r="A93" s="1" t="s">
        <v>94</v>
      </c>
      <c r="B93" s="1" t="s">
        <v>88</v>
      </c>
      <c r="C93" s="1" t="s">
        <v>89</v>
      </c>
      <c r="D93" s="1"/>
      <c r="E93" s="1"/>
      <c r="F93" s="1"/>
      <c r="G93" s="1"/>
      <c r="H93" s="1"/>
      <c r="I93" s="1"/>
      <c r="J93" s="1"/>
      <c r="K93" s="1"/>
      <c r="L93" s="1"/>
    </row>
    <row r="94" ht="14.25" customHeight="1">
      <c r="A94" s="1" t="s">
        <v>95</v>
      </c>
      <c r="B94" s="1" t="s">
        <v>88</v>
      </c>
      <c r="C94" s="1" t="s">
        <v>89</v>
      </c>
      <c r="D94" s="1"/>
      <c r="E94" s="1"/>
      <c r="F94" s="1"/>
      <c r="G94" s="1"/>
      <c r="H94" s="1"/>
      <c r="I94" s="1"/>
      <c r="J94" s="1"/>
      <c r="K94" s="1"/>
      <c r="L94" s="1"/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4" width="10.71"/>
    <col customWidth="1" min="5" max="5" width="14.29"/>
    <col customWidth="1" min="6" max="6" width="12.0"/>
    <col customWidth="1" min="7" max="8" width="10.71"/>
    <col customWidth="1" min="9" max="9" width="14.71"/>
    <col customWidth="1" min="10" max="10" width="12.43"/>
    <col customWidth="1" min="11" max="12" width="10.71"/>
    <col customWidth="1" min="13" max="13" width="15.29"/>
    <col customWidth="1" min="14" max="14" width="12.0"/>
    <col customWidth="1" min="15" max="16" width="10.71"/>
    <col customWidth="1" min="17" max="17" width="22.29"/>
    <col customWidth="1" min="18" max="26" width="10.71"/>
  </cols>
  <sheetData>
    <row r="1" ht="14.25" customHeight="1">
      <c r="A1" s="12" t="s">
        <v>96</v>
      </c>
      <c r="B1" s="13" t="s">
        <v>55</v>
      </c>
      <c r="C1" s="14"/>
      <c r="E1" s="15" t="s">
        <v>97</v>
      </c>
      <c r="M1" s="16" t="s">
        <v>98</v>
      </c>
      <c r="N1" s="17"/>
      <c r="O1" s="18"/>
    </row>
    <row r="2" ht="14.25" customHeight="1">
      <c r="A2" s="12" t="s">
        <v>99</v>
      </c>
      <c r="B2" s="1">
        <v>1.0</v>
      </c>
      <c r="C2" s="12"/>
      <c r="M2" s="19" t="s">
        <v>100</v>
      </c>
      <c r="N2" s="20">
        <f>1.72*10^-8</f>
        <v>0.0000000172</v>
      </c>
      <c r="O2" s="21" t="s">
        <v>101</v>
      </c>
    </row>
    <row r="3" ht="14.25" customHeight="1">
      <c r="A3" s="12" t="s">
        <v>102</v>
      </c>
      <c r="B3" s="2">
        <v>0.31</v>
      </c>
      <c r="C3" s="22" t="s">
        <v>103</v>
      </c>
      <c r="M3" s="23" t="s">
        <v>104</v>
      </c>
      <c r="N3" s="24">
        <f>4.1*10^-3</f>
        <v>0.0041</v>
      </c>
      <c r="O3" s="25" t="s">
        <v>105</v>
      </c>
    </row>
    <row r="4" ht="14.25" customHeight="1">
      <c r="A4" s="12" t="s">
        <v>106</v>
      </c>
      <c r="B4" s="2">
        <v>100000.0</v>
      </c>
      <c r="C4" s="22" t="s">
        <v>107</v>
      </c>
      <c r="M4" s="23" t="s">
        <v>108</v>
      </c>
      <c r="N4" s="13">
        <v>25.0</v>
      </c>
      <c r="O4" s="25" t="s">
        <v>109</v>
      </c>
    </row>
    <row r="5" ht="14.25" customHeight="1">
      <c r="A5" s="12" t="s">
        <v>110</v>
      </c>
      <c r="B5" s="26">
        <f>4*PI()*10^-7</f>
        <v>0.000001256637061</v>
      </c>
      <c r="C5" s="14"/>
      <c r="M5" s="27" t="s">
        <v>111</v>
      </c>
      <c r="N5" s="28">
        <f>N2*(1+N3*N4)</f>
        <v>0.000000018963</v>
      </c>
      <c r="O5" s="29" t="s">
        <v>112</v>
      </c>
    </row>
    <row r="6" ht="14.25" customHeight="1">
      <c r="A6" s="12" t="s">
        <v>113</v>
      </c>
      <c r="B6" s="26">
        <f>VLOOKUP($B$1,ListeNoyauC,8,FALSE)*B2</f>
        <v>1740</v>
      </c>
      <c r="C6" s="14"/>
    </row>
    <row r="7" ht="14.25" customHeight="1">
      <c r="A7" s="12" t="s">
        <v>114</v>
      </c>
      <c r="B7" s="30">
        <f>VLOOKUP($B$1,ListeNoyauC,5,FALSE)</f>
        <v>121380</v>
      </c>
      <c r="C7" s="14" t="s">
        <v>115</v>
      </c>
      <c r="M7" s="16" t="s">
        <v>116</v>
      </c>
      <c r="N7" s="17"/>
      <c r="O7" s="18"/>
      <c r="Q7" s="31" t="s">
        <v>117</v>
      </c>
      <c r="R7" s="32"/>
      <c r="S7" s="33"/>
    </row>
    <row r="8" ht="14.25" customHeight="1">
      <c r="A8" s="12" t="s">
        <v>118</v>
      </c>
      <c r="B8" s="34">
        <f>VLOOKUP($B$1,ListeNoyauC,5,FALSE)*B2</f>
        <v>121380</v>
      </c>
      <c r="C8" s="14" t="s">
        <v>115</v>
      </c>
      <c r="M8" s="19" t="str">
        <f>IF(OR(N10="Fil émaillé",N10="Fil Litz Rond",N10="Fil Litz C"),"Diamètre Fil","Larg. Meplat Wcu")</f>
        <v>Diamètre Fil</v>
      </c>
      <c r="N8" s="35">
        <v>0.071</v>
      </c>
      <c r="O8" s="36" t="s">
        <v>119</v>
      </c>
      <c r="Q8" s="37"/>
      <c r="R8" s="38"/>
      <c r="S8" s="39"/>
    </row>
    <row r="9" ht="14.25" customHeight="1">
      <c r="A9" s="12" t="s">
        <v>120</v>
      </c>
      <c r="B9" s="34">
        <f>VLOOKUP($B$1,ListeNoyauC,6,FALSE)</f>
        <v>124</v>
      </c>
      <c r="C9" s="14" t="s">
        <v>119</v>
      </c>
      <c r="M9" s="23" t="str">
        <f>IF(OR(N10="Fil émaillé",N10="Fil Litz Rond",N10="Fil Litz C"),"Nbre Fil //","Epaisseur Meplat")</f>
        <v>Nbre Fil //</v>
      </c>
      <c r="N9" s="13">
        <v>800.0</v>
      </c>
      <c r="O9" s="25" t="str">
        <f>IF(OR(N10="Fil émaillé",N10="Fil Litz Rond",N10="Fil Litz C"),"","mm")</f>
        <v/>
      </c>
      <c r="Q9" s="40"/>
      <c r="R9" s="41"/>
      <c r="S9" s="42"/>
    </row>
    <row r="10" ht="14.25" customHeight="1">
      <c r="A10" s="12" t="s">
        <v>121</v>
      </c>
      <c r="B10" s="34">
        <f>VLOOKUP($B$1,ListeNoyauC,2,FALSE)*B2</f>
        <v>420</v>
      </c>
      <c r="C10" s="14" t="s">
        <v>122</v>
      </c>
      <c r="M10" s="23" t="s">
        <v>123</v>
      </c>
      <c r="N10" s="13" t="s">
        <v>87</v>
      </c>
      <c r="O10" s="25"/>
      <c r="Q10" s="43"/>
      <c r="S10" s="44"/>
    </row>
    <row r="11" ht="14.25" customHeight="1">
      <c r="A11" s="12" t="s">
        <v>124</v>
      </c>
      <c r="B11" s="34">
        <f>VLOOKUP($B$1,ListeNoyauC,3,FALSE)*B2</f>
        <v>430</v>
      </c>
      <c r="C11" s="14" t="s">
        <v>122</v>
      </c>
      <c r="M11" s="23" t="s">
        <v>125</v>
      </c>
      <c r="N11" s="45">
        <v>4.0</v>
      </c>
      <c r="O11" s="25"/>
      <c r="Q11" s="43" t="s">
        <v>126</v>
      </c>
      <c r="S11" s="44"/>
    </row>
    <row r="12" ht="14.25" customHeight="1">
      <c r="A12" s="12" t="s">
        <v>127</v>
      </c>
      <c r="B12" s="34">
        <f>VLOOKUP($B$1,ListeNoyauC,7,FALSE)*B2</f>
        <v>52100</v>
      </c>
      <c r="C12" s="14" t="s">
        <v>128</v>
      </c>
      <c r="M12" s="23" t="s">
        <v>129</v>
      </c>
      <c r="N12" s="46" t="str">
        <f>VLOOKUP($B$1,ListeNoyauC,16,FALSE)</f>
        <v/>
      </c>
      <c r="O12" s="25" t="s">
        <v>119</v>
      </c>
      <c r="Q12" s="43" t="s">
        <v>130</v>
      </c>
      <c r="S12" s="44"/>
    </row>
    <row r="13" ht="14.25" customHeight="1">
      <c r="A13" s="12" t="s">
        <v>131</v>
      </c>
      <c r="B13" s="34">
        <f>VLOOKUP($B$1,ListeNoyauC,11,FALSE)*B2</f>
        <v>7300</v>
      </c>
      <c r="C13" s="14" t="s">
        <v>132</v>
      </c>
      <c r="M13" s="23" t="s">
        <v>133</v>
      </c>
      <c r="N13" s="47">
        <f>IF(OR(N10="Fil émaillé",N10="Fil Litz Rond",N10="Fil Litz C"),(N8^2*PI()/4)*N9,N8*N9)</f>
        <v>3.167353713</v>
      </c>
      <c r="O13" s="25" t="s">
        <v>122</v>
      </c>
      <c r="Q13" s="43" t="s">
        <v>134</v>
      </c>
      <c r="S13" s="44"/>
    </row>
    <row r="14" ht="14.25" customHeight="1">
      <c r="A14" s="12" t="s">
        <v>135</v>
      </c>
      <c r="B14" s="34">
        <f>VLOOKUP($B$1,ListeNoyauC,12,FALSE)</f>
        <v>596</v>
      </c>
      <c r="C14" s="14"/>
      <c r="M14" s="23" t="s">
        <v>136</v>
      </c>
      <c r="N14" s="47">
        <f>SQRT(N13)</f>
        <v>1.779706075</v>
      </c>
      <c r="O14" s="25" t="s">
        <v>119</v>
      </c>
      <c r="Q14" s="43"/>
      <c r="S14" s="44"/>
    </row>
    <row r="15" ht="14.25" customHeight="1">
      <c r="A15" s="12" t="s">
        <v>137</v>
      </c>
      <c r="B15" s="48">
        <f>VLOOKUP($B$1,ListeNoyauC,13,FALSE)</f>
        <v>-0.769</v>
      </c>
      <c r="C15" s="14"/>
      <c r="M15" s="27" t="s">
        <v>138</v>
      </c>
      <c r="N15" s="49">
        <f>PI()*B18*B25/1000</f>
        <v>1.296849447</v>
      </c>
      <c r="O15" s="50" t="s">
        <v>139</v>
      </c>
      <c r="Q15" s="43"/>
      <c r="S15" s="44"/>
    </row>
    <row r="16" ht="14.25" customHeight="1">
      <c r="A16" s="12" t="s">
        <v>140</v>
      </c>
      <c r="B16" s="34">
        <f>VLOOKUP($B$1,ListeNoyauC,14,FALSE)</f>
        <v>905</v>
      </c>
      <c r="C16" s="14"/>
      <c r="Q16" s="43"/>
      <c r="S16" s="44"/>
    </row>
    <row r="17" ht="14.25" customHeight="1">
      <c r="A17" s="12" t="s">
        <v>141</v>
      </c>
      <c r="B17" s="34">
        <f>VLOOKUP($B$1,ListeNoyauC,15,FALSE)</f>
        <v>-0.873</v>
      </c>
      <c r="C17" s="14"/>
      <c r="M17" s="31" t="s">
        <v>142</v>
      </c>
      <c r="N17" s="32"/>
      <c r="O17" s="33"/>
      <c r="Q17" s="40"/>
      <c r="R17" s="41"/>
      <c r="S17" s="42"/>
    </row>
    <row r="18" ht="14.25" customHeight="1">
      <c r="A18" s="12" t="s">
        <v>143</v>
      </c>
      <c r="B18" s="34">
        <f>VLOOKUP($B$1,ListeNoyauC,10,FALSE)</f>
        <v>17.2</v>
      </c>
      <c r="C18" s="14" t="s">
        <v>119</v>
      </c>
      <c r="M18" s="51" t="s">
        <v>144</v>
      </c>
      <c r="N18" s="52">
        <f>1900/SQRT(B12)</f>
        <v>8.324051132</v>
      </c>
      <c r="O18" s="53" t="s">
        <v>145</v>
      </c>
    </row>
    <row r="19" ht="14.25" customHeight="1">
      <c r="A19" s="12" t="s">
        <v>146</v>
      </c>
      <c r="B19" s="54">
        <f>1/(B13*10^-9)</f>
        <v>136986.3014</v>
      </c>
      <c r="C19" s="14" t="s">
        <v>147</v>
      </c>
    </row>
    <row r="20" ht="14.25" customHeight="1">
      <c r="A20" s="12" t="s">
        <v>148</v>
      </c>
      <c r="B20" s="55">
        <f>Noyau!Q21</f>
        <v>25.95</v>
      </c>
      <c r="C20" s="14" t="s">
        <v>119</v>
      </c>
      <c r="M20" s="16" t="s">
        <v>149</v>
      </c>
      <c r="N20" s="17"/>
      <c r="O20" s="18"/>
      <c r="Q20" s="16" t="s">
        <v>150</v>
      </c>
      <c r="R20" s="17"/>
      <c r="S20" s="18"/>
    </row>
    <row r="21" ht="14.25" customHeight="1">
      <c r="A21" s="12" t="s">
        <v>151</v>
      </c>
      <c r="B21" s="55">
        <f>(1+((B23*0.001)/SQRT(B11*0.000001))*LN((2*B20*0.001)/(B23*0.001)))</f>
        <v>1.429955043</v>
      </c>
      <c r="C21" s="14"/>
      <c r="M21" s="56" t="s">
        <v>152</v>
      </c>
      <c r="N21" s="57">
        <f>67/SQRT($B$4)</f>
        <v>0.2118726032</v>
      </c>
      <c r="O21" s="36" t="s">
        <v>119</v>
      </c>
      <c r="Q21" s="23" t="s">
        <v>153</v>
      </c>
      <c r="R21" s="1">
        <v>0.032</v>
      </c>
      <c r="S21" s="23" t="s">
        <v>154</v>
      </c>
    </row>
    <row r="22" ht="17.25" customHeight="1">
      <c r="A22" s="12" t="s">
        <v>155</v>
      </c>
      <c r="B22" s="2">
        <v>1.6</v>
      </c>
      <c r="C22" s="14" t="s">
        <v>119</v>
      </c>
      <c r="M22" s="23" t="s">
        <v>156</v>
      </c>
      <c r="N22" s="47">
        <f>IF(OR(N10="Fil émaillé",N10="Fil Litz Rond",N10="Fil Litz C"),N14/N21,N9/N21)</f>
        <v>8.399887705</v>
      </c>
      <c r="O22" s="58"/>
      <c r="Q22" s="23" t="s">
        <v>157</v>
      </c>
      <c r="R22" s="2">
        <v>200000.0</v>
      </c>
      <c r="S22" s="23" t="s">
        <v>107</v>
      </c>
    </row>
    <row r="23" ht="14.25" customHeight="1">
      <c r="A23" s="12" t="s">
        <v>158</v>
      </c>
      <c r="B23" s="48">
        <f>B22*2</f>
        <v>3.2</v>
      </c>
      <c r="C23" s="14" t="s">
        <v>119</v>
      </c>
      <c r="M23" s="23" t="s">
        <v>159</v>
      </c>
      <c r="N23" s="47">
        <v>1.0</v>
      </c>
      <c r="O23" s="59"/>
      <c r="Q23" s="23" t="s">
        <v>160</v>
      </c>
      <c r="R23" s="47">
        <f>R24*1.78579</f>
        <v>15.19696125</v>
      </c>
      <c r="S23" s="23" t="s">
        <v>161</v>
      </c>
    </row>
    <row r="24" ht="14.25" customHeight="1">
      <c r="A24" s="12" t="s">
        <v>162</v>
      </c>
      <c r="B24" s="48">
        <f>B14*(B23^B15)*B2</f>
        <v>243.6609462</v>
      </c>
      <c r="C24" s="14" t="s">
        <v>132</v>
      </c>
      <c r="M24" s="23" t="s">
        <v>163</v>
      </c>
      <c r="N24" s="47">
        <f>SQRT(N23)*N22</f>
        <v>8.399887705</v>
      </c>
      <c r="O24" s="58"/>
      <c r="Q24" s="23" t="s">
        <v>164</v>
      </c>
      <c r="R24" s="47">
        <f>(-3.626*LN(R22/1000)+28.32)*((R22/1000)^1.729)*R21^(-0.00076*(R22/1000)+2.8332)</f>
        <v>8.509937481</v>
      </c>
      <c r="S24" s="23" t="s">
        <v>161</v>
      </c>
    </row>
    <row r="25" ht="14.25" customHeight="1">
      <c r="A25" s="12" t="s">
        <v>165</v>
      </c>
      <c r="B25" s="5">
        <v>24.0</v>
      </c>
      <c r="C25" s="14" t="s">
        <v>166</v>
      </c>
      <c r="M25" s="23" t="s">
        <v>167</v>
      </c>
      <c r="N25" s="47">
        <f>N24*((SINH(2*N24)+SIN(2*N24))/(COSH(2*N24)-COS(2*N24)))+2*N24*((N11^2-1)/3)*((SINH(N24)-SIN(N24))/(COSH(N24)+COS(N24)))</f>
        <v>92.38607782</v>
      </c>
      <c r="O25" s="58"/>
      <c r="Q25" s="23" t="s">
        <v>168</v>
      </c>
      <c r="R25" s="47">
        <f>1000*R24*B12*10^-9</f>
        <v>0.4433677427</v>
      </c>
      <c r="S25" s="23" t="s">
        <v>169</v>
      </c>
    </row>
    <row r="26" ht="14.25" customHeight="1">
      <c r="A26" s="12" t="s">
        <v>170</v>
      </c>
      <c r="B26" s="60">
        <f>B24*B25^2/1000</f>
        <v>140.348705</v>
      </c>
      <c r="C26" s="14" t="s">
        <v>171</v>
      </c>
      <c r="M26" s="23" t="s">
        <v>172</v>
      </c>
      <c r="N26" s="47">
        <f>(N27+N27*N25)</f>
        <v>0.7250737393</v>
      </c>
      <c r="O26" s="58" t="s">
        <v>169</v>
      </c>
    </row>
    <row r="27" ht="14.25" customHeight="1">
      <c r="A27" s="12" t="s">
        <v>173</v>
      </c>
      <c r="B27" s="61">
        <f>B11*B25*B3/B26</f>
        <v>22.79465279</v>
      </c>
      <c r="C27" s="14" t="s">
        <v>174</v>
      </c>
      <c r="M27" s="23" t="s">
        <v>175</v>
      </c>
      <c r="N27" s="62">
        <f>$N$5*N15/(N13*10^-6)</f>
        <v>0.007764259472</v>
      </c>
      <c r="O27" s="58" t="s">
        <v>169</v>
      </c>
    </row>
    <row r="28" ht="14.25" customHeight="1"/>
    <row r="29" ht="14.25" customHeight="1">
      <c r="A29" s="16" t="s">
        <v>176</v>
      </c>
      <c r="B29" s="17"/>
      <c r="C29" s="18"/>
    </row>
    <row r="30" ht="14.25" customHeight="1">
      <c r="A30" s="63" t="s">
        <v>177</v>
      </c>
      <c r="B30" s="64">
        <f>10^6*B11*10^-6*(1+((1*B23*10^-3)/(B18*10^-3)))^2</f>
        <v>604.8837209</v>
      </c>
      <c r="C30" s="36" t="s">
        <v>122</v>
      </c>
    </row>
    <row r="31" ht="14.25" customHeight="1">
      <c r="A31" s="65" t="s">
        <v>178</v>
      </c>
      <c r="B31" s="54">
        <f>(B23*10^-3)/(B5*B30*10^-6)</f>
        <v>4209865.469</v>
      </c>
      <c r="C31" s="25" t="s">
        <v>179</v>
      </c>
    </row>
    <row r="32" ht="14.25" customHeight="1">
      <c r="A32" s="65" t="s">
        <v>180</v>
      </c>
      <c r="B32" s="54">
        <f>B31+B19</f>
        <v>4346851.77</v>
      </c>
      <c r="C32" s="25" t="s">
        <v>181</v>
      </c>
    </row>
    <row r="33" ht="14.25" customHeight="1">
      <c r="A33" s="65" t="s">
        <v>9</v>
      </c>
      <c r="B33" s="54">
        <f>10^9/B32</f>
        <v>230.0515529</v>
      </c>
      <c r="C33" s="25" t="s">
        <v>132</v>
      </c>
    </row>
    <row r="34" ht="14.25" customHeight="1">
      <c r="A34" s="65" t="s">
        <v>182</v>
      </c>
      <c r="B34" s="54">
        <f>B33*B25^2/1000</f>
        <v>132.5096945</v>
      </c>
      <c r="C34" s="25" t="s">
        <v>171</v>
      </c>
      <c r="N34" s="7"/>
    </row>
    <row r="35" ht="14.25" customHeight="1">
      <c r="A35" s="66" t="s">
        <v>173</v>
      </c>
      <c r="B35" s="67">
        <f>B11*B25*B3/B34</f>
        <v>24.14313921</v>
      </c>
      <c r="C35" s="68" t="s">
        <v>174</v>
      </c>
    </row>
    <row r="36" ht="14.25" customHeight="1">
      <c r="A36" s="63" t="s">
        <v>183</v>
      </c>
      <c r="B36" s="55">
        <f>1000000*B5*B25^2*B11*0.000001/(B23*0.001+(B9*0.001/B6))</f>
        <v>95.14482242</v>
      </c>
      <c r="C36" s="36" t="s">
        <v>171</v>
      </c>
    </row>
    <row r="37" ht="14.25" customHeight="1">
      <c r="A37" s="69" t="s">
        <v>184</v>
      </c>
      <c r="B37" s="55">
        <f>(1+((B23*0.001)/SQRT(B11*0.000001))*LN((2*B20*0.001)/(B23*0.001)))</f>
        <v>1.429955043</v>
      </c>
      <c r="C37" s="25"/>
    </row>
    <row r="38" ht="14.25" customHeight="1">
      <c r="A38" s="66" t="s">
        <v>185</v>
      </c>
      <c r="B38" s="70">
        <f>B36*B37</f>
        <v>136.0528187</v>
      </c>
      <c r="C38" s="68" t="s">
        <v>171</v>
      </c>
    </row>
    <row r="39" ht="14.25" customHeight="1">
      <c r="A39" s="71" t="s">
        <v>173</v>
      </c>
      <c r="B39" s="72">
        <f>B11*B25*B3/B38</f>
        <v>23.51439707</v>
      </c>
      <c r="C39" s="73" t="s">
        <v>174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E1:K3"/>
    <mergeCell ref="M1:O1"/>
    <mergeCell ref="M7:O7"/>
    <mergeCell ref="Q7:S7"/>
    <mergeCell ref="M17:O17"/>
    <mergeCell ref="M20:O20"/>
    <mergeCell ref="Q20:S20"/>
    <mergeCell ref="A29:C29"/>
  </mergeCells>
  <dataValidations>
    <dataValidation type="list" allowBlank="1" showErrorMessage="1" sqref="B1">
      <formula1>ListeNoyau</formula1>
    </dataValidation>
    <dataValidation type="decimal" allowBlank="1" showInputMessage="1" showErrorMessage="1" prompt="Nombre de paire de noyaux - Entrer le nombre de paires de noyaux composant le circuit magnétique._x000a_Le nombre doit-être compris entre 1 et 5._x000a_Si le noyau n'est pas de type E, cette valeur n'est pas prise en compte." sqref="B2">
      <formula1>1.0</formula1>
      <formula2>10.0</formula2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2011-08-23T08:53:20Z</dcterms:created>
  <dc:creator>Yoann De La Calle</dc:creator>
</cp:coreProperties>
</file>